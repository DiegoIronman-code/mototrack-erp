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merlano\Desktop\"/>
    </mc:Choice>
  </mc:AlternateContent>
  <xr:revisionPtr revIDLastSave="0" documentId="13_ncr:1_{6CBE99B9-AEBA-4C2B-99CA-A18F21F28418}" xr6:coauthVersionLast="47" xr6:coauthVersionMax="47" xr10:uidLastSave="{00000000-0000-0000-0000-000000000000}"/>
  <bookViews>
    <workbookView xWindow="-110" yWindow="-110" windowWidth="19420" windowHeight="11500" tabRatio="793" activeTab="7" xr2:uid="{00000000-000D-0000-FFFF-FFFF00000000}"/>
  </bookViews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  <sheet name="Costos" sheetId="8" r:id="rId8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4" i="8" l="1"/>
  <c r="D64" i="8"/>
  <c r="C64" i="8"/>
  <c r="B53" i="8" s="1"/>
  <c r="C59" i="8" s="1"/>
  <c r="B64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42" i="8"/>
  <c r="A41" i="8"/>
  <c r="A40" i="8"/>
  <c r="A39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B48" i="8" l="1"/>
  <c r="B60" i="8" s="1"/>
  <c r="B47" i="8"/>
  <c r="B59" i="8" s="1"/>
  <c r="D59" i="8" s="1"/>
  <c r="B46" i="8"/>
  <c r="B58" i="8" s="1"/>
  <c r="B54" i="8"/>
  <c r="C60" i="8" s="1"/>
  <c r="B52" i="8"/>
  <c r="C58" i="8" s="1"/>
  <c r="D60" i="8" l="1"/>
  <c r="D58" i="8"/>
</calcChain>
</file>

<file path=xl/sharedStrings.xml><?xml version="1.0" encoding="utf-8"?>
<sst xmlns="http://schemas.openxmlformats.org/spreadsheetml/2006/main" count="446" uniqueCount="132">
  <si>
    <t>Name</t>
  </si>
  <si>
    <t>Moto Track</t>
  </si>
  <si>
    <t>Current Period</t>
  </si>
  <si>
    <t>Final Period</t>
  </si>
  <si>
    <t>Periods per Year</t>
  </si>
  <si>
    <t>Playable Periods</t>
  </si>
  <si>
    <t>Initial Balance</t>
  </si>
  <si>
    <t>$700,000,000.00</t>
  </si>
  <si>
    <t>Interest Rate</t>
  </si>
  <si>
    <t>12%</t>
  </si>
  <si>
    <t>Depreciation Cost</t>
  </si>
  <si>
    <t>$2,000,000.00</t>
  </si>
  <si>
    <t>Bank Balance</t>
  </si>
  <si>
    <t>$2,511,255,695.97</t>
  </si>
  <si>
    <t>Period</t>
  </si>
  <si>
    <t>Inbound</t>
  </si>
  <si>
    <t>Concept</t>
  </si>
  <si>
    <t>Entity</t>
  </si>
  <si>
    <t>Outbound</t>
  </si>
  <si>
    <t>Game initial bank balance set</t>
  </si>
  <si>
    <t>Interest rate</t>
  </si>
  <si>
    <t>Sale orders of Store</t>
  </si>
  <si>
    <t>🏪 MotoTrack Norte</t>
  </si>
  <si>
    <t>🏪 MotoTrack Centro</t>
  </si>
  <si>
    <t>🏪 MotoTrack Sur</t>
  </si>
  <si>
    <t>Depreciation of machines from Factory</t>
  </si>
  <si>
    <t>🏭 MotoTrack</t>
  </si>
  <si>
    <t>Storage orders of Factory</t>
  </si>
  <si>
    <t>Production orders of Factory</t>
  </si>
  <si>
    <t>Transportation orders of Factory</t>
  </si>
  <si>
    <t>Transportation orders of Raw material supplier</t>
  </si>
  <si>
    <t>🚜 Proveedor Azul</t>
  </si>
  <si>
    <t>Supply orders of Raw material supplier</t>
  </si>
  <si>
    <t>🚜 Proveedor Amarillo</t>
  </si>
  <si>
    <t>🚜 Proveedor Negro</t>
  </si>
  <si>
    <t>Storage orders of Distribution center</t>
  </si>
  <si>
    <t>🚚 Cedi MotoTrack</t>
  </si>
  <si>
    <t>Transportation orders of Distribution center</t>
  </si>
  <si>
    <t>Storage orders of Store</t>
  </si>
  <si>
    <t>Products</t>
  </si>
  <si>
    <t>Width</t>
  </si>
  <si>
    <t>Depth</t>
  </si>
  <si>
    <t>Height</t>
  </si>
  <si>
    <t>Weight</t>
  </si>
  <si>
    <t>MOTO</t>
  </si>
  <si>
    <t>CUATRIMOTO</t>
  </si>
  <si>
    <t>TRACTOR</t>
  </si>
  <si>
    <t>Raw Materials</t>
  </si>
  <si>
    <t>CUARTO LADRILLO AZUL</t>
  </si>
  <si>
    <t>MEDIO LADRILLO AZUL</t>
  </si>
  <si>
    <t>LADRILLO COMPLETO AZUL</t>
  </si>
  <si>
    <t>LADRILLO TRIANGULAR AZUL</t>
  </si>
  <si>
    <t>DINTEL SIMPLE AMARILLO</t>
  </si>
  <si>
    <t>DINTEL DOBLE AMARILLO</t>
  </si>
  <si>
    <t>DINTEL TRIPLE AMARILLO</t>
  </si>
  <si>
    <t>BLOQUE REDONDO SENCILLO AMARILLO</t>
  </si>
  <si>
    <t>MEDIO BLOQUE REDONDO AMARILLO</t>
  </si>
  <si>
    <t>BLOQUE REDONDO MACHO-MACHO AMARILLO</t>
  </si>
  <si>
    <t>BLOQUE REDONDO HEMBRA-HEMBRA AMARILLO</t>
  </si>
  <si>
    <t>CARRETE DE ESPIGAS AMARILLO</t>
  </si>
  <si>
    <t>PIÑON GRANDE AMARILLO</t>
  </si>
  <si>
    <t>PIÑON PEQUEÑO AMARILLO</t>
  </si>
  <si>
    <t>PIÑON CONICO AMARILLO</t>
  </si>
  <si>
    <t>VIGA SIMPLE GRIS</t>
  </si>
  <si>
    <t>VIGA DOBLE GRIS</t>
  </si>
  <si>
    <t>VIGA TRIPLE GRIS</t>
  </si>
  <si>
    <t>BLOQUE DE EJES NEGRO</t>
  </si>
  <si>
    <t>CILINDRO NEGRO</t>
  </si>
  <si>
    <t>COLUMNA NEGRA</t>
  </si>
  <si>
    <t>ESLABÓN DE ORUGA NEGRO</t>
  </si>
  <si>
    <t>PIN TRIPLE AZUL</t>
  </si>
  <si>
    <t>PIN DOBLE AZUL</t>
  </si>
  <si>
    <t>PIN SIMPLE AZUL</t>
  </si>
  <si>
    <t>TOPE DE EJE AMARILLO</t>
  </si>
  <si>
    <t>EJE HEXAGONAL 3.5 CM</t>
  </si>
  <si>
    <t>EJE HEXAGONAL 6.5 CM</t>
  </si>
  <si>
    <t>EJE HEXAGONAL 10 CM</t>
  </si>
  <si>
    <t>Product - Raw Material Relationship</t>
  </si>
  <si>
    <t>Product \ Raw Material</t>
  </si>
  <si>
    <t>Product - Subproduct Relationship</t>
  </si>
  <si>
    <t>Parent \ Subproduct</t>
  </si>
  <si>
    <t>Turn</t>
  </si>
  <si>
    <t>Origin</t>
  </si>
  <si>
    <t>Destiny</t>
  </si>
  <si>
    <t>Transportation Mean</t>
  </si>
  <si>
    <t>Fixed Price Per Turn</t>
  </si>
  <si>
    <t>Capacity u3</t>
  </si>
  <si>
    <t>Quantity</t>
  </si>
  <si>
    <t>Turns To Destination</t>
  </si>
  <si>
    <t>truck</t>
  </si>
  <si>
    <t>1000000</t>
  </si>
  <si>
    <t>2000000</t>
  </si>
  <si>
    <t>ship</t>
  </si>
  <si>
    <t>8000000</t>
  </si>
  <si>
    <t>plane</t>
  </si>
  <si>
    <t>1200000</t>
  </si>
  <si>
    <t>2500000</t>
  </si>
  <si>
    <t>Armar Base</t>
  </si>
  <si>
    <t>Armar Chasís</t>
  </si>
  <si>
    <t>Rueda - Oruga</t>
  </si>
  <si>
    <t>Asiento - Volante</t>
  </si>
  <si>
    <t>Availability</t>
  </si>
  <si>
    <t>Type</t>
  </si>
  <si>
    <t>Internal Available Storage</t>
  </si>
  <si>
    <t>Internal Fixed Cost</t>
  </si>
  <si>
    <t>Internal Variable Cost</t>
  </si>
  <si>
    <t>External Fixed Cost</t>
  </si>
  <si>
    <t>External Cost per u3</t>
  </si>
  <si>
    <t>Factory</t>
  </si>
  <si>
    <t>Store</t>
  </si>
  <si>
    <t>Distribution Center</t>
  </si>
  <si>
    <t>Costeo de Fabricación por Producto — Materia Prima y Mano de Obra Directa</t>
  </si>
  <si>
    <t>No incluye costo de transporte (se omite por ahora).</t>
  </si>
  <si>
    <t xml:space="preserve"> </t>
  </si>
  <si>
    <t>Celda para completar con precio/tarifa real (este dato no está en el archivo original)</t>
  </si>
  <si>
    <t>1. Precios Unitarios de Materias Primas</t>
  </si>
  <si>
    <t>Materia Prima</t>
  </si>
  <si>
    <t>Precio Unitario (COP)</t>
  </si>
  <si>
    <t>2. Costo de Mano de Obra Directa por Operación</t>
  </si>
  <si>
    <t>Operación de Ensamble</t>
  </si>
  <si>
    <t>Costo Unitario (COP)</t>
  </si>
  <si>
    <t>3. Costo de Materia Prima por Producto</t>
  </si>
  <si>
    <t>Producto</t>
  </si>
  <si>
    <t>Costo Materia Prima Unitario</t>
  </si>
  <si>
    <t>4. Costo de Mano de Obra Directa por Producto</t>
  </si>
  <si>
    <t>Costo Mano de Obra Unitario</t>
  </si>
  <si>
    <t>5. Resumen — Costo Unitario de Fabricación</t>
  </si>
  <si>
    <t>Costo Materia Prima</t>
  </si>
  <si>
    <t>Costo Mano de Obra Directa</t>
  </si>
  <si>
    <t>Costo Total Unitario</t>
  </si>
  <si>
    <t>Vector auxiliar de precios de materia prima (no editar)</t>
  </si>
  <si>
    <t>Vector auxiliar de costo de mano de obra por operación (no editar)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</si>
</sst>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2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8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97D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3" borderId="1" xfId="0" applyFont="1" applyFill="1" applyBorder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0" borderId="1" xfId="0" applyFont="1" applyBorder="1"/>
    <xf numFmtId="164" fontId="3" fillId="2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F11" sqref="F11"/>
    </sheetView>
  </sheetViews>
  <sheetFormatPr baseColWidth="10" defaultColWidth="8.58203125" defaultRowHeight="15.5" x14ac:dyDescent="0.35"/>
  <cols>
    <col min="2" max="2" width="15.83203125" style="14" bestFit="1" customWidth="1"/>
  </cols>
  <sheetData>
    <row r="1" spans="1:2" x14ac:dyDescent="0.35">
      <c r="A1" t="s">
        <v>0</v>
      </c>
      <c r="B1" s="14" t="s">
        <v>1</v>
      </c>
    </row>
    <row r="2" spans="1:2" x14ac:dyDescent="0.35">
      <c r="A2" t="s">
        <v>2</v>
      </c>
      <c r="B2" s="14">
        <v>7</v>
      </c>
    </row>
    <row r="3" spans="1:2" x14ac:dyDescent="0.35">
      <c r="A3" t="s">
        <v>3</v>
      </c>
      <c r="B3" s="14">
        <v>18</v>
      </c>
    </row>
    <row r="4" spans="1:2" x14ac:dyDescent="0.35">
      <c r="A4" t="s">
        <v>4</v>
      </c>
      <c r="B4" s="14">
        <v>52</v>
      </c>
    </row>
    <row r="5" spans="1:2" x14ac:dyDescent="0.35">
      <c r="A5" t="s">
        <v>5</v>
      </c>
      <c r="B5" s="14">
        <v>18</v>
      </c>
    </row>
    <row r="6" spans="1:2" x14ac:dyDescent="0.35">
      <c r="A6" t="s">
        <v>6</v>
      </c>
      <c r="B6" s="14" t="s">
        <v>7</v>
      </c>
    </row>
    <row r="7" spans="1:2" x14ac:dyDescent="0.35">
      <c r="A7" t="s">
        <v>8</v>
      </c>
      <c r="B7" s="14" t="s">
        <v>9</v>
      </c>
    </row>
    <row r="8" spans="1:2" x14ac:dyDescent="0.35">
      <c r="A8" t="s">
        <v>10</v>
      </c>
      <c r="B8" s="14" t="s">
        <v>11</v>
      </c>
    </row>
    <row r="9" spans="1:2" x14ac:dyDescent="0.35">
      <c r="A9" t="s">
        <v>12</v>
      </c>
      <c r="B9" s="1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"/>
  <sheetViews>
    <sheetView zoomScaleNormal="100" workbookViewId="0"/>
  </sheetViews>
  <sheetFormatPr baseColWidth="10" defaultColWidth="8.58203125" defaultRowHeight="15.5" x14ac:dyDescent="0.35"/>
  <sheetData>
    <row r="1" spans="1:8" x14ac:dyDescent="0.35">
      <c r="A1" t="s">
        <v>14</v>
      </c>
      <c r="B1" t="s">
        <v>15</v>
      </c>
      <c r="C1" t="s">
        <v>16</v>
      </c>
      <c r="D1" t="s">
        <v>17</v>
      </c>
      <c r="E1" t="s">
        <v>14</v>
      </c>
      <c r="F1" t="s">
        <v>18</v>
      </c>
      <c r="G1" t="s">
        <v>16</v>
      </c>
      <c r="H1" t="s">
        <v>17</v>
      </c>
    </row>
    <row r="2" spans="1:8" x14ac:dyDescent="0.35">
      <c r="A2">
        <v>0</v>
      </c>
      <c r="B2">
        <v>700000000</v>
      </c>
      <c r="C2" t="s">
        <v>19</v>
      </c>
    </row>
    <row r="3" spans="1:8" x14ac:dyDescent="0.35">
      <c r="A3">
        <v>1</v>
      </c>
      <c r="B3">
        <v>1615384.62</v>
      </c>
      <c r="C3" t="s">
        <v>20</v>
      </c>
    </row>
    <row r="4" spans="1:8" x14ac:dyDescent="0.35">
      <c r="A4">
        <v>1</v>
      </c>
      <c r="B4">
        <v>272000000</v>
      </c>
      <c r="C4" t="s">
        <v>21</v>
      </c>
      <c r="D4" t="s">
        <v>22</v>
      </c>
    </row>
    <row r="5" spans="1:8" x14ac:dyDescent="0.35">
      <c r="A5">
        <v>1</v>
      </c>
      <c r="B5">
        <v>439000000</v>
      </c>
      <c r="C5" t="s">
        <v>21</v>
      </c>
      <c r="D5" t="s">
        <v>23</v>
      </c>
    </row>
    <row r="6" spans="1:8" x14ac:dyDescent="0.35">
      <c r="A6">
        <v>1</v>
      </c>
      <c r="B6">
        <v>251000000</v>
      </c>
      <c r="C6" t="s">
        <v>21</v>
      </c>
      <c r="D6" t="s">
        <v>24</v>
      </c>
    </row>
    <row r="7" spans="1:8" x14ac:dyDescent="0.35">
      <c r="E7">
        <v>1</v>
      </c>
      <c r="F7">
        <v>0</v>
      </c>
      <c r="G7" t="s">
        <v>25</v>
      </c>
      <c r="H7" t="s">
        <v>26</v>
      </c>
    </row>
    <row r="8" spans="1:8" x14ac:dyDescent="0.35">
      <c r="E8">
        <v>1</v>
      </c>
      <c r="F8">
        <v>3354978.12</v>
      </c>
      <c r="G8" t="s">
        <v>27</v>
      </c>
      <c r="H8" t="s">
        <v>26</v>
      </c>
    </row>
    <row r="9" spans="1:8" x14ac:dyDescent="0.35">
      <c r="E9">
        <v>1</v>
      </c>
      <c r="F9">
        <v>146965500</v>
      </c>
      <c r="G9" t="s">
        <v>28</v>
      </c>
      <c r="H9" t="s">
        <v>26</v>
      </c>
    </row>
    <row r="10" spans="1:8" x14ac:dyDescent="0.35">
      <c r="E10">
        <v>1</v>
      </c>
      <c r="F10">
        <v>3500000</v>
      </c>
      <c r="G10" t="s">
        <v>29</v>
      </c>
      <c r="H10" t="s">
        <v>26</v>
      </c>
    </row>
    <row r="11" spans="1:8" x14ac:dyDescent="0.35">
      <c r="E11">
        <v>1</v>
      </c>
      <c r="F11">
        <v>0</v>
      </c>
      <c r="G11" t="s">
        <v>30</v>
      </c>
      <c r="H11" t="s">
        <v>31</v>
      </c>
    </row>
    <row r="12" spans="1:8" x14ac:dyDescent="0.35">
      <c r="E12">
        <v>1</v>
      </c>
      <c r="F12">
        <v>0</v>
      </c>
      <c r="G12" t="s">
        <v>32</v>
      </c>
      <c r="H12" t="s">
        <v>31</v>
      </c>
    </row>
    <row r="13" spans="1:8" x14ac:dyDescent="0.35">
      <c r="E13">
        <v>1</v>
      </c>
      <c r="F13">
        <v>2000000</v>
      </c>
      <c r="G13" t="s">
        <v>30</v>
      </c>
      <c r="H13" t="s">
        <v>33</v>
      </c>
    </row>
    <row r="14" spans="1:8" x14ac:dyDescent="0.35">
      <c r="E14">
        <v>1</v>
      </c>
      <c r="F14">
        <v>94460000</v>
      </c>
      <c r="G14" t="s">
        <v>32</v>
      </c>
      <c r="H14" t="s">
        <v>33</v>
      </c>
    </row>
    <row r="15" spans="1:8" x14ac:dyDescent="0.35">
      <c r="E15">
        <v>1</v>
      </c>
      <c r="F15">
        <v>8000000</v>
      </c>
      <c r="G15" t="s">
        <v>30</v>
      </c>
      <c r="H15" t="s">
        <v>34</v>
      </c>
    </row>
    <row r="16" spans="1:8" x14ac:dyDescent="0.35">
      <c r="E16">
        <v>1</v>
      </c>
      <c r="F16">
        <v>505324000</v>
      </c>
      <c r="G16" t="s">
        <v>32</v>
      </c>
      <c r="H16" t="s">
        <v>34</v>
      </c>
    </row>
    <row r="17" spans="1:8" x14ac:dyDescent="0.35">
      <c r="E17">
        <v>1</v>
      </c>
      <c r="F17">
        <v>2358420</v>
      </c>
      <c r="G17" t="s">
        <v>35</v>
      </c>
      <c r="H17" t="s">
        <v>36</v>
      </c>
    </row>
    <row r="18" spans="1:8" x14ac:dyDescent="0.35">
      <c r="E18">
        <v>1</v>
      </c>
      <c r="F18">
        <v>2000000</v>
      </c>
      <c r="G18" t="s">
        <v>37</v>
      </c>
      <c r="H18" t="s">
        <v>36</v>
      </c>
    </row>
    <row r="19" spans="1:8" x14ac:dyDescent="0.35">
      <c r="E19">
        <v>1</v>
      </c>
      <c r="F19">
        <v>1413836</v>
      </c>
      <c r="G19" t="s">
        <v>38</v>
      </c>
      <c r="H19" t="s">
        <v>22</v>
      </c>
    </row>
    <row r="20" spans="1:8" x14ac:dyDescent="0.35">
      <c r="E20">
        <v>1</v>
      </c>
      <c r="F20">
        <v>1608200</v>
      </c>
      <c r="G20" t="s">
        <v>38</v>
      </c>
      <c r="H20" t="s">
        <v>23</v>
      </c>
    </row>
    <row r="21" spans="1:8" x14ac:dyDescent="0.35">
      <c r="E21">
        <v>1</v>
      </c>
      <c r="F21">
        <v>559040</v>
      </c>
      <c r="G21" t="s">
        <v>38</v>
      </c>
      <c r="H21" t="s">
        <v>24</v>
      </c>
    </row>
    <row r="22" spans="1:8" x14ac:dyDescent="0.35">
      <c r="A22">
        <v>2</v>
      </c>
      <c r="B22">
        <v>2058626.33</v>
      </c>
      <c r="C22" t="s">
        <v>20</v>
      </c>
    </row>
    <row r="23" spans="1:8" x14ac:dyDescent="0.35">
      <c r="A23">
        <v>2</v>
      </c>
      <c r="B23">
        <v>253000000</v>
      </c>
      <c r="C23" t="s">
        <v>21</v>
      </c>
      <c r="D23" t="s">
        <v>22</v>
      </c>
    </row>
    <row r="24" spans="1:8" x14ac:dyDescent="0.35">
      <c r="A24">
        <v>2</v>
      </c>
      <c r="B24">
        <v>387000000</v>
      </c>
      <c r="C24" t="s">
        <v>21</v>
      </c>
      <c r="D24" t="s">
        <v>23</v>
      </c>
    </row>
    <row r="25" spans="1:8" x14ac:dyDescent="0.35">
      <c r="A25">
        <v>2</v>
      </c>
      <c r="B25">
        <v>210000000</v>
      </c>
      <c r="C25" t="s">
        <v>21</v>
      </c>
      <c r="D25" t="s">
        <v>24</v>
      </c>
    </row>
    <row r="26" spans="1:8" x14ac:dyDescent="0.35">
      <c r="E26">
        <v>2</v>
      </c>
      <c r="F26">
        <v>0</v>
      </c>
      <c r="G26" t="s">
        <v>25</v>
      </c>
      <c r="H26" t="s">
        <v>26</v>
      </c>
    </row>
    <row r="27" spans="1:8" x14ac:dyDescent="0.35">
      <c r="E27">
        <v>2</v>
      </c>
      <c r="F27">
        <v>3255769.19</v>
      </c>
      <c r="G27" t="s">
        <v>27</v>
      </c>
      <c r="H27" t="s">
        <v>26</v>
      </c>
    </row>
    <row r="28" spans="1:8" x14ac:dyDescent="0.35">
      <c r="E28">
        <v>2</v>
      </c>
      <c r="F28">
        <v>153750000</v>
      </c>
      <c r="G28" t="s">
        <v>28</v>
      </c>
      <c r="H28" t="s">
        <v>26</v>
      </c>
    </row>
    <row r="29" spans="1:8" x14ac:dyDescent="0.35">
      <c r="E29">
        <v>2</v>
      </c>
      <c r="F29">
        <v>4500000</v>
      </c>
      <c r="G29" t="s">
        <v>29</v>
      </c>
      <c r="H29" t="s">
        <v>26</v>
      </c>
    </row>
    <row r="30" spans="1:8" x14ac:dyDescent="0.35">
      <c r="E30">
        <v>2</v>
      </c>
      <c r="F30">
        <v>1000000</v>
      </c>
      <c r="G30" t="s">
        <v>30</v>
      </c>
      <c r="H30" t="s">
        <v>31</v>
      </c>
    </row>
    <row r="31" spans="1:8" x14ac:dyDescent="0.35">
      <c r="E31">
        <v>2</v>
      </c>
      <c r="F31">
        <v>81500000</v>
      </c>
      <c r="G31" t="s">
        <v>32</v>
      </c>
      <c r="H31" t="s">
        <v>31</v>
      </c>
    </row>
    <row r="32" spans="1:8" x14ac:dyDescent="0.35">
      <c r="E32">
        <v>2</v>
      </c>
      <c r="F32">
        <v>2000000</v>
      </c>
      <c r="G32" t="s">
        <v>30</v>
      </c>
      <c r="H32" t="s">
        <v>33</v>
      </c>
    </row>
    <row r="33" spans="1:8" x14ac:dyDescent="0.35">
      <c r="E33">
        <v>2</v>
      </c>
      <c r="F33">
        <v>92000000</v>
      </c>
      <c r="G33" t="s">
        <v>32</v>
      </c>
      <c r="H33" t="s">
        <v>33</v>
      </c>
    </row>
    <row r="34" spans="1:8" x14ac:dyDescent="0.35">
      <c r="E34">
        <v>2</v>
      </c>
      <c r="F34">
        <v>8000000</v>
      </c>
      <c r="G34" t="s">
        <v>30</v>
      </c>
      <c r="H34" t="s">
        <v>34</v>
      </c>
    </row>
    <row r="35" spans="1:8" x14ac:dyDescent="0.35">
      <c r="E35">
        <v>2</v>
      </c>
      <c r="F35">
        <v>162250000</v>
      </c>
      <c r="G35" t="s">
        <v>32</v>
      </c>
      <c r="H35" t="s">
        <v>34</v>
      </c>
    </row>
    <row r="36" spans="1:8" x14ac:dyDescent="0.35">
      <c r="E36">
        <v>2</v>
      </c>
      <c r="F36">
        <v>2358420</v>
      </c>
      <c r="G36" t="s">
        <v>35</v>
      </c>
      <c r="H36" t="s">
        <v>36</v>
      </c>
    </row>
    <row r="37" spans="1:8" x14ac:dyDescent="0.35">
      <c r="E37">
        <v>2</v>
      </c>
      <c r="F37">
        <v>3000000</v>
      </c>
      <c r="G37" t="s">
        <v>37</v>
      </c>
      <c r="H37" t="s">
        <v>36</v>
      </c>
    </row>
    <row r="38" spans="1:8" x14ac:dyDescent="0.35">
      <c r="E38">
        <v>2</v>
      </c>
      <c r="F38">
        <v>1386732</v>
      </c>
      <c r="G38" t="s">
        <v>38</v>
      </c>
      <c r="H38" t="s">
        <v>22</v>
      </c>
    </row>
    <row r="39" spans="1:8" x14ac:dyDescent="0.35">
      <c r="E39">
        <v>2</v>
      </c>
      <c r="F39">
        <v>1294960</v>
      </c>
      <c r="G39" t="s">
        <v>38</v>
      </c>
      <c r="H39" t="s">
        <v>23</v>
      </c>
    </row>
    <row r="40" spans="1:8" x14ac:dyDescent="0.35">
      <c r="E40">
        <v>2</v>
      </c>
      <c r="F40">
        <v>554816</v>
      </c>
      <c r="G40" t="s">
        <v>38</v>
      </c>
      <c r="H40" t="s">
        <v>24</v>
      </c>
    </row>
    <row r="41" spans="1:8" x14ac:dyDescent="0.35">
      <c r="A41">
        <v>3</v>
      </c>
      <c r="B41">
        <v>2832183.09</v>
      </c>
      <c r="C41" t="s">
        <v>20</v>
      </c>
    </row>
    <row r="42" spans="1:8" x14ac:dyDescent="0.35">
      <c r="A42">
        <v>3</v>
      </c>
      <c r="B42">
        <v>164000000</v>
      </c>
      <c r="C42" t="s">
        <v>21</v>
      </c>
      <c r="D42" t="s">
        <v>22</v>
      </c>
    </row>
    <row r="43" spans="1:8" x14ac:dyDescent="0.35">
      <c r="A43">
        <v>3</v>
      </c>
      <c r="B43">
        <v>404000000</v>
      </c>
      <c r="C43" t="s">
        <v>21</v>
      </c>
      <c r="D43" t="s">
        <v>23</v>
      </c>
    </row>
    <row r="44" spans="1:8" x14ac:dyDescent="0.35">
      <c r="A44">
        <v>3</v>
      </c>
      <c r="B44">
        <v>185000000</v>
      </c>
      <c r="C44" t="s">
        <v>21</v>
      </c>
      <c r="D44" t="s">
        <v>24</v>
      </c>
    </row>
    <row r="45" spans="1:8" x14ac:dyDescent="0.35">
      <c r="E45">
        <v>3</v>
      </c>
      <c r="F45">
        <v>0</v>
      </c>
      <c r="G45" t="s">
        <v>25</v>
      </c>
      <c r="H45" t="s">
        <v>26</v>
      </c>
    </row>
    <row r="46" spans="1:8" x14ac:dyDescent="0.35">
      <c r="E46">
        <v>3</v>
      </c>
      <c r="F46">
        <v>2965950.94</v>
      </c>
      <c r="G46" t="s">
        <v>27</v>
      </c>
      <c r="H46" t="s">
        <v>26</v>
      </c>
    </row>
    <row r="47" spans="1:8" x14ac:dyDescent="0.35">
      <c r="E47">
        <v>3</v>
      </c>
      <c r="F47">
        <v>153750000</v>
      </c>
      <c r="G47" t="s">
        <v>28</v>
      </c>
      <c r="H47" t="s">
        <v>26</v>
      </c>
    </row>
    <row r="48" spans="1:8" x14ac:dyDescent="0.35">
      <c r="E48">
        <v>3</v>
      </c>
      <c r="F48">
        <v>4500000</v>
      </c>
      <c r="G48" t="s">
        <v>29</v>
      </c>
      <c r="H48" t="s">
        <v>26</v>
      </c>
    </row>
    <row r="49" spans="1:8" x14ac:dyDescent="0.35">
      <c r="E49">
        <v>3</v>
      </c>
      <c r="F49">
        <v>1000000</v>
      </c>
      <c r="G49" t="s">
        <v>30</v>
      </c>
      <c r="H49" t="s">
        <v>31</v>
      </c>
    </row>
    <row r="50" spans="1:8" x14ac:dyDescent="0.35">
      <c r="E50">
        <v>3</v>
      </c>
      <c r="F50">
        <v>81500000</v>
      </c>
      <c r="G50" t="s">
        <v>32</v>
      </c>
      <c r="H50" t="s">
        <v>31</v>
      </c>
    </row>
    <row r="51" spans="1:8" x14ac:dyDescent="0.35">
      <c r="E51">
        <v>3</v>
      </c>
      <c r="F51">
        <v>2000000</v>
      </c>
      <c r="G51" t="s">
        <v>30</v>
      </c>
      <c r="H51" t="s">
        <v>33</v>
      </c>
    </row>
    <row r="52" spans="1:8" x14ac:dyDescent="0.35">
      <c r="E52">
        <v>3</v>
      </c>
      <c r="F52">
        <v>92000000</v>
      </c>
      <c r="G52" t="s">
        <v>32</v>
      </c>
      <c r="H52" t="s">
        <v>33</v>
      </c>
    </row>
    <row r="53" spans="1:8" x14ac:dyDescent="0.35">
      <c r="E53">
        <v>3</v>
      </c>
      <c r="F53">
        <v>8000000</v>
      </c>
      <c r="G53" t="s">
        <v>30</v>
      </c>
      <c r="H53" t="s">
        <v>34</v>
      </c>
    </row>
    <row r="54" spans="1:8" x14ac:dyDescent="0.35">
      <c r="E54">
        <v>3</v>
      </c>
      <c r="F54">
        <v>172250000</v>
      </c>
      <c r="G54" t="s">
        <v>32</v>
      </c>
      <c r="H54" t="s">
        <v>34</v>
      </c>
    </row>
    <row r="55" spans="1:8" x14ac:dyDescent="0.35">
      <c r="E55">
        <v>3</v>
      </c>
      <c r="F55">
        <v>2404440</v>
      </c>
      <c r="G55" t="s">
        <v>35</v>
      </c>
      <c r="H55" t="s">
        <v>36</v>
      </c>
    </row>
    <row r="56" spans="1:8" x14ac:dyDescent="0.35">
      <c r="E56">
        <v>3</v>
      </c>
      <c r="F56">
        <v>3000000</v>
      </c>
      <c r="G56" t="s">
        <v>37</v>
      </c>
      <c r="H56" t="s">
        <v>36</v>
      </c>
    </row>
    <row r="57" spans="1:8" x14ac:dyDescent="0.35">
      <c r="E57">
        <v>3</v>
      </c>
      <c r="F57">
        <v>1399052</v>
      </c>
      <c r="G57" t="s">
        <v>38</v>
      </c>
      <c r="H57" t="s">
        <v>22</v>
      </c>
    </row>
    <row r="58" spans="1:8" x14ac:dyDescent="0.35">
      <c r="E58">
        <v>3</v>
      </c>
      <c r="F58">
        <v>1418440</v>
      </c>
      <c r="G58" t="s">
        <v>38</v>
      </c>
      <c r="H58" t="s">
        <v>23</v>
      </c>
    </row>
    <row r="59" spans="1:8" x14ac:dyDescent="0.35">
      <c r="E59">
        <v>3</v>
      </c>
      <c r="F59">
        <v>590016</v>
      </c>
      <c r="G59" t="s">
        <v>38</v>
      </c>
      <c r="H59" t="s">
        <v>24</v>
      </c>
    </row>
    <row r="60" spans="1:8" x14ac:dyDescent="0.35">
      <c r="A60">
        <v>4</v>
      </c>
      <c r="B60">
        <v>3360769.9</v>
      </c>
      <c r="C60" t="s">
        <v>20</v>
      </c>
    </row>
    <row r="61" spans="1:8" x14ac:dyDescent="0.35">
      <c r="A61">
        <v>4</v>
      </c>
      <c r="B61">
        <v>257000000</v>
      </c>
      <c r="C61" t="s">
        <v>21</v>
      </c>
      <c r="D61" t="s">
        <v>22</v>
      </c>
    </row>
    <row r="62" spans="1:8" x14ac:dyDescent="0.35">
      <c r="A62">
        <v>4</v>
      </c>
      <c r="B62">
        <v>344000000</v>
      </c>
      <c r="C62" t="s">
        <v>21</v>
      </c>
      <c r="D62" t="s">
        <v>23</v>
      </c>
    </row>
    <row r="63" spans="1:8" x14ac:dyDescent="0.35">
      <c r="A63">
        <v>4</v>
      </c>
      <c r="B63">
        <v>202000000</v>
      </c>
      <c r="C63" t="s">
        <v>21</v>
      </c>
      <c r="D63" t="s">
        <v>24</v>
      </c>
    </row>
    <row r="64" spans="1:8" x14ac:dyDescent="0.35">
      <c r="E64">
        <v>4</v>
      </c>
      <c r="F64">
        <v>0</v>
      </c>
      <c r="G64" t="s">
        <v>25</v>
      </c>
      <c r="H64" t="s">
        <v>26</v>
      </c>
    </row>
    <row r="65" spans="1:8" x14ac:dyDescent="0.35">
      <c r="E65">
        <v>4</v>
      </c>
      <c r="F65">
        <v>2651022.1800000002</v>
      </c>
      <c r="G65" t="s">
        <v>27</v>
      </c>
      <c r="H65" t="s">
        <v>26</v>
      </c>
    </row>
    <row r="66" spans="1:8" x14ac:dyDescent="0.35">
      <c r="E66">
        <v>4</v>
      </c>
      <c r="F66">
        <v>167190000</v>
      </c>
      <c r="G66" t="s">
        <v>28</v>
      </c>
      <c r="H66" t="s">
        <v>26</v>
      </c>
    </row>
    <row r="67" spans="1:8" x14ac:dyDescent="0.35">
      <c r="E67">
        <v>4</v>
      </c>
      <c r="F67">
        <v>6000000</v>
      </c>
      <c r="G67" t="s">
        <v>29</v>
      </c>
      <c r="H67" t="s">
        <v>26</v>
      </c>
    </row>
    <row r="68" spans="1:8" x14ac:dyDescent="0.35">
      <c r="E68">
        <v>4</v>
      </c>
      <c r="F68">
        <v>1000000</v>
      </c>
      <c r="G68" t="s">
        <v>30</v>
      </c>
      <c r="H68" t="s">
        <v>31</v>
      </c>
    </row>
    <row r="69" spans="1:8" x14ac:dyDescent="0.35">
      <c r="E69">
        <v>4</v>
      </c>
      <c r="F69">
        <v>81230000</v>
      </c>
      <c r="G69" t="s">
        <v>32</v>
      </c>
      <c r="H69" t="s">
        <v>31</v>
      </c>
    </row>
    <row r="70" spans="1:8" x14ac:dyDescent="0.35">
      <c r="E70">
        <v>4</v>
      </c>
      <c r="F70">
        <v>2000000</v>
      </c>
      <c r="G70" t="s">
        <v>30</v>
      </c>
      <c r="H70" t="s">
        <v>33</v>
      </c>
    </row>
    <row r="71" spans="1:8" x14ac:dyDescent="0.35">
      <c r="E71">
        <v>4</v>
      </c>
      <c r="F71">
        <v>127770000</v>
      </c>
      <c r="G71" t="s">
        <v>32</v>
      </c>
      <c r="H71" t="s">
        <v>33</v>
      </c>
    </row>
    <row r="72" spans="1:8" x14ac:dyDescent="0.35">
      <c r="E72">
        <v>4</v>
      </c>
      <c r="F72">
        <v>8000000</v>
      </c>
      <c r="G72" t="s">
        <v>30</v>
      </c>
      <c r="H72" t="s">
        <v>34</v>
      </c>
    </row>
    <row r="73" spans="1:8" x14ac:dyDescent="0.35">
      <c r="E73">
        <v>4</v>
      </c>
      <c r="F73">
        <v>171252000</v>
      </c>
      <c r="G73" t="s">
        <v>32</v>
      </c>
      <c r="H73" t="s">
        <v>34</v>
      </c>
    </row>
    <row r="74" spans="1:8" x14ac:dyDescent="0.35">
      <c r="E74">
        <v>4</v>
      </c>
      <c r="F74">
        <v>2587632</v>
      </c>
      <c r="G74" t="s">
        <v>35</v>
      </c>
      <c r="H74" t="s">
        <v>36</v>
      </c>
    </row>
    <row r="75" spans="1:8" x14ac:dyDescent="0.35">
      <c r="E75">
        <v>4</v>
      </c>
      <c r="F75">
        <v>3000000</v>
      </c>
      <c r="G75" t="s">
        <v>37</v>
      </c>
      <c r="H75" t="s">
        <v>36</v>
      </c>
    </row>
    <row r="76" spans="1:8" x14ac:dyDescent="0.35">
      <c r="E76">
        <v>4</v>
      </c>
      <c r="F76">
        <v>1548124</v>
      </c>
      <c r="G76" t="s">
        <v>38</v>
      </c>
      <c r="H76" t="s">
        <v>22</v>
      </c>
    </row>
    <row r="77" spans="1:8" x14ac:dyDescent="0.35">
      <c r="E77">
        <v>4</v>
      </c>
      <c r="F77">
        <v>1510840</v>
      </c>
      <c r="G77" t="s">
        <v>38</v>
      </c>
      <c r="H77" t="s">
        <v>23</v>
      </c>
    </row>
    <row r="78" spans="1:8" x14ac:dyDescent="0.35">
      <c r="E78">
        <v>4</v>
      </c>
      <c r="F78">
        <v>648448</v>
      </c>
      <c r="G78" t="s">
        <v>38</v>
      </c>
      <c r="H78" t="s">
        <v>24</v>
      </c>
    </row>
    <row r="79" spans="1:8" x14ac:dyDescent="0.35">
      <c r="A79">
        <v>5</v>
      </c>
      <c r="B79">
        <v>3891476.14</v>
      </c>
      <c r="C79" t="s">
        <v>20</v>
      </c>
    </row>
    <row r="80" spans="1:8" x14ac:dyDescent="0.35">
      <c r="A80">
        <v>5</v>
      </c>
      <c r="B80">
        <v>233000000</v>
      </c>
      <c r="C80" t="s">
        <v>21</v>
      </c>
      <c r="D80" t="s">
        <v>22</v>
      </c>
    </row>
    <row r="81" spans="1:8" x14ac:dyDescent="0.35">
      <c r="A81">
        <v>5</v>
      </c>
      <c r="B81">
        <v>373000000</v>
      </c>
      <c r="C81" t="s">
        <v>21</v>
      </c>
      <c r="D81" t="s">
        <v>23</v>
      </c>
    </row>
    <row r="82" spans="1:8" x14ac:dyDescent="0.35">
      <c r="A82">
        <v>5</v>
      </c>
      <c r="B82">
        <v>204000000</v>
      </c>
      <c r="C82" t="s">
        <v>21</v>
      </c>
      <c r="D82" t="s">
        <v>24</v>
      </c>
    </row>
    <row r="83" spans="1:8" x14ac:dyDescent="0.35">
      <c r="E83">
        <v>5</v>
      </c>
      <c r="F83">
        <v>0</v>
      </c>
      <c r="G83" t="s">
        <v>25</v>
      </c>
      <c r="H83" t="s">
        <v>26</v>
      </c>
    </row>
    <row r="84" spans="1:8" x14ac:dyDescent="0.35">
      <c r="E84">
        <v>5</v>
      </c>
      <c r="F84">
        <v>2604722.9900000002</v>
      </c>
      <c r="G84" t="s">
        <v>27</v>
      </c>
      <c r="H84" t="s">
        <v>26</v>
      </c>
    </row>
    <row r="85" spans="1:8" x14ac:dyDescent="0.35">
      <c r="E85">
        <v>5</v>
      </c>
      <c r="F85">
        <v>113250000</v>
      </c>
      <c r="G85" t="s">
        <v>28</v>
      </c>
      <c r="H85" t="s">
        <v>26</v>
      </c>
    </row>
    <row r="86" spans="1:8" x14ac:dyDescent="0.35">
      <c r="E86">
        <v>5</v>
      </c>
      <c r="F86">
        <v>3500000</v>
      </c>
      <c r="G86" t="s">
        <v>29</v>
      </c>
      <c r="H86" t="s">
        <v>26</v>
      </c>
    </row>
    <row r="87" spans="1:8" x14ac:dyDescent="0.35">
      <c r="E87">
        <v>5</v>
      </c>
      <c r="F87">
        <v>1000000</v>
      </c>
      <c r="G87" t="s">
        <v>30</v>
      </c>
      <c r="H87" t="s">
        <v>31</v>
      </c>
    </row>
    <row r="88" spans="1:8" x14ac:dyDescent="0.35">
      <c r="E88">
        <v>5</v>
      </c>
      <c r="F88">
        <v>61450000</v>
      </c>
      <c r="G88" t="s">
        <v>32</v>
      </c>
      <c r="H88" t="s">
        <v>31</v>
      </c>
    </row>
    <row r="89" spans="1:8" x14ac:dyDescent="0.35">
      <c r="E89">
        <v>5</v>
      </c>
      <c r="F89">
        <v>2000000</v>
      </c>
      <c r="G89" t="s">
        <v>30</v>
      </c>
      <c r="H89" t="s">
        <v>33</v>
      </c>
    </row>
    <row r="90" spans="1:8" x14ac:dyDescent="0.35">
      <c r="E90">
        <v>5</v>
      </c>
      <c r="F90">
        <v>54250000</v>
      </c>
      <c r="G90" t="s">
        <v>32</v>
      </c>
      <c r="H90" t="s">
        <v>33</v>
      </c>
    </row>
    <row r="91" spans="1:8" x14ac:dyDescent="0.35">
      <c r="E91">
        <v>5</v>
      </c>
      <c r="F91">
        <v>8000000</v>
      </c>
      <c r="G91" t="s">
        <v>30</v>
      </c>
      <c r="H91" t="s">
        <v>34</v>
      </c>
    </row>
    <row r="92" spans="1:8" x14ac:dyDescent="0.35">
      <c r="E92">
        <v>5</v>
      </c>
      <c r="F92">
        <v>124400000</v>
      </c>
      <c r="G92" t="s">
        <v>32</v>
      </c>
      <c r="H92" t="s">
        <v>34</v>
      </c>
    </row>
    <row r="93" spans="1:8" x14ac:dyDescent="0.35">
      <c r="E93">
        <v>5</v>
      </c>
      <c r="F93">
        <v>2362056</v>
      </c>
      <c r="G93" t="s">
        <v>35</v>
      </c>
      <c r="H93" t="s">
        <v>36</v>
      </c>
    </row>
    <row r="94" spans="1:8" x14ac:dyDescent="0.35">
      <c r="E94">
        <v>5</v>
      </c>
      <c r="F94">
        <v>2000000</v>
      </c>
      <c r="G94" t="s">
        <v>37</v>
      </c>
      <c r="H94" t="s">
        <v>36</v>
      </c>
    </row>
    <row r="95" spans="1:8" x14ac:dyDescent="0.35">
      <c r="E95">
        <v>5</v>
      </c>
      <c r="F95">
        <v>1542216</v>
      </c>
      <c r="G95" t="s">
        <v>38</v>
      </c>
      <c r="H95" t="s">
        <v>22</v>
      </c>
    </row>
    <row r="96" spans="1:8" x14ac:dyDescent="0.35">
      <c r="E96">
        <v>5</v>
      </c>
      <c r="F96">
        <v>1609080</v>
      </c>
      <c r="G96" t="s">
        <v>38</v>
      </c>
      <c r="H96" t="s">
        <v>23</v>
      </c>
    </row>
    <row r="97" spans="1:8" x14ac:dyDescent="0.35">
      <c r="E97">
        <v>5</v>
      </c>
      <c r="F97">
        <v>713216</v>
      </c>
      <c r="G97" t="s">
        <v>38</v>
      </c>
      <c r="H97" t="s">
        <v>24</v>
      </c>
    </row>
    <row r="98" spans="1:8" x14ac:dyDescent="0.35">
      <c r="A98">
        <v>6</v>
      </c>
      <c r="B98">
        <v>4895807.34</v>
      </c>
      <c r="C98" t="s">
        <v>20</v>
      </c>
    </row>
    <row r="99" spans="1:8" x14ac:dyDescent="0.35">
      <c r="A99">
        <v>6</v>
      </c>
      <c r="B99">
        <v>234000000</v>
      </c>
      <c r="C99" t="s">
        <v>21</v>
      </c>
      <c r="D99" t="s">
        <v>22</v>
      </c>
    </row>
    <row r="100" spans="1:8" x14ac:dyDescent="0.35">
      <c r="A100">
        <v>6</v>
      </c>
      <c r="B100">
        <v>399000000</v>
      </c>
      <c r="C100" t="s">
        <v>21</v>
      </c>
      <c r="D100" t="s">
        <v>23</v>
      </c>
    </row>
    <row r="101" spans="1:8" x14ac:dyDescent="0.35">
      <c r="A101">
        <v>6</v>
      </c>
      <c r="B101">
        <v>232000000</v>
      </c>
      <c r="C101" t="s">
        <v>21</v>
      </c>
      <c r="D101" t="s">
        <v>24</v>
      </c>
    </row>
    <row r="102" spans="1:8" x14ac:dyDescent="0.35">
      <c r="E102">
        <v>6</v>
      </c>
      <c r="F102">
        <v>0</v>
      </c>
      <c r="G102" t="s">
        <v>25</v>
      </c>
      <c r="H102" t="s">
        <v>26</v>
      </c>
    </row>
    <row r="103" spans="1:8" x14ac:dyDescent="0.35">
      <c r="E103">
        <v>6</v>
      </c>
      <c r="F103">
        <v>2664492.0299999998</v>
      </c>
      <c r="G103" t="s">
        <v>27</v>
      </c>
      <c r="H103" t="s">
        <v>26</v>
      </c>
    </row>
    <row r="104" spans="1:8" x14ac:dyDescent="0.35">
      <c r="E104">
        <v>6</v>
      </c>
      <c r="F104">
        <v>143170500</v>
      </c>
      <c r="G104" t="s">
        <v>28</v>
      </c>
      <c r="H104" t="s">
        <v>26</v>
      </c>
    </row>
    <row r="105" spans="1:8" x14ac:dyDescent="0.35">
      <c r="E105">
        <v>6</v>
      </c>
      <c r="F105">
        <v>2500000</v>
      </c>
      <c r="G105" t="s">
        <v>29</v>
      </c>
      <c r="H105" t="s">
        <v>26</v>
      </c>
    </row>
    <row r="106" spans="1:8" x14ac:dyDescent="0.35">
      <c r="E106">
        <v>6</v>
      </c>
      <c r="F106">
        <v>1000000</v>
      </c>
      <c r="G106" t="s">
        <v>30</v>
      </c>
      <c r="H106" t="s">
        <v>31</v>
      </c>
    </row>
    <row r="107" spans="1:8" x14ac:dyDescent="0.35">
      <c r="E107">
        <v>6</v>
      </c>
      <c r="F107">
        <v>69610000</v>
      </c>
      <c r="G107" t="s">
        <v>32</v>
      </c>
      <c r="H107" t="s">
        <v>31</v>
      </c>
    </row>
    <row r="108" spans="1:8" x14ac:dyDescent="0.35">
      <c r="E108">
        <v>6</v>
      </c>
      <c r="F108">
        <v>2000000</v>
      </c>
      <c r="G108" t="s">
        <v>30</v>
      </c>
      <c r="H108" t="s">
        <v>33</v>
      </c>
    </row>
    <row r="109" spans="1:8" x14ac:dyDescent="0.35">
      <c r="E109">
        <v>6</v>
      </c>
      <c r="F109">
        <v>91240000</v>
      </c>
      <c r="G109" t="s">
        <v>32</v>
      </c>
      <c r="H109" t="s">
        <v>33</v>
      </c>
    </row>
    <row r="110" spans="1:8" x14ac:dyDescent="0.35">
      <c r="E110">
        <v>6</v>
      </c>
      <c r="F110">
        <v>8000000</v>
      </c>
      <c r="G110" t="s">
        <v>30</v>
      </c>
      <c r="H110" t="s">
        <v>34</v>
      </c>
    </row>
    <row r="111" spans="1:8" x14ac:dyDescent="0.35">
      <c r="E111">
        <v>6</v>
      </c>
      <c r="F111">
        <v>152864000</v>
      </c>
      <c r="G111" t="s">
        <v>32</v>
      </c>
      <c r="H111" t="s">
        <v>34</v>
      </c>
    </row>
    <row r="112" spans="1:8" x14ac:dyDescent="0.35">
      <c r="E112">
        <v>6</v>
      </c>
      <c r="F112">
        <v>2318928</v>
      </c>
      <c r="G112" t="s">
        <v>35</v>
      </c>
      <c r="H112" t="s">
        <v>36</v>
      </c>
    </row>
    <row r="113" spans="5:8" x14ac:dyDescent="0.35">
      <c r="E113">
        <v>6</v>
      </c>
      <c r="F113">
        <v>1000000</v>
      </c>
      <c r="G113" t="s">
        <v>37</v>
      </c>
      <c r="H113" t="s">
        <v>36</v>
      </c>
    </row>
    <row r="114" spans="5:8" x14ac:dyDescent="0.35">
      <c r="E114">
        <v>6</v>
      </c>
      <c r="F114">
        <v>1635148</v>
      </c>
      <c r="G114" t="s">
        <v>38</v>
      </c>
      <c r="H114" t="s">
        <v>22</v>
      </c>
    </row>
    <row r="115" spans="5:8" x14ac:dyDescent="0.35">
      <c r="E115">
        <v>6</v>
      </c>
      <c r="F115">
        <v>1373460</v>
      </c>
      <c r="G115" t="s">
        <v>38</v>
      </c>
      <c r="H115" t="s">
        <v>23</v>
      </c>
    </row>
    <row r="116" spans="5:8" x14ac:dyDescent="0.35">
      <c r="E116">
        <v>6</v>
      </c>
      <c r="F116">
        <v>780096</v>
      </c>
      <c r="G116" t="s">
        <v>38</v>
      </c>
      <c r="H116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zoomScaleNormal="100" workbookViewId="0"/>
  </sheetViews>
  <sheetFormatPr baseColWidth="10" defaultColWidth="8.58203125" defaultRowHeight="15.5" x14ac:dyDescent="0.35"/>
  <sheetData>
    <row r="1" spans="1:5" x14ac:dyDescent="0.35">
      <c r="A1" t="s">
        <v>39</v>
      </c>
    </row>
    <row r="2" spans="1:5" x14ac:dyDescent="0.35">
      <c r="A2" t="s">
        <v>0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35">
      <c r="A3" t="s">
        <v>44</v>
      </c>
      <c r="B3">
        <v>0.8</v>
      </c>
      <c r="C3">
        <v>2.2000000000000002</v>
      </c>
      <c r="D3">
        <v>1.4</v>
      </c>
      <c r="E3">
        <v>1</v>
      </c>
    </row>
    <row r="4" spans="1:5" x14ac:dyDescent="0.35">
      <c r="A4" t="s">
        <v>45</v>
      </c>
      <c r="B4">
        <v>1.1000000000000001</v>
      </c>
      <c r="C4">
        <v>1.2</v>
      </c>
      <c r="D4">
        <v>1.2</v>
      </c>
      <c r="E4">
        <v>1</v>
      </c>
    </row>
    <row r="5" spans="1:5" x14ac:dyDescent="0.35">
      <c r="A5" t="s">
        <v>46</v>
      </c>
      <c r="B5">
        <v>1.2</v>
      </c>
      <c r="C5">
        <v>2.5</v>
      </c>
      <c r="D5">
        <v>1.3</v>
      </c>
      <c r="E5">
        <v>1</v>
      </c>
    </row>
    <row r="7" spans="1:5" x14ac:dyDescent="0.35">
      <c r="A7" t="s">
        <v>47</v>
      </c>
    </row>
    <row r="8" spans="1:5" x14ac:dyDescent="0.35">
      <c r="A8" t="s">
        <v>0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35">
      <c r="A9" t="s">
        <v>48</v>
      </c>
      <c r="B9">
        <v>0.11</v>
      </c>
      <c r="C9">
        <v>0.22</v>
      </c>
      <c r="D9">
        <v>0.08</v>
      </c>
      <c r="E9">
        <v>0.1</v>
      </c>
    </row>
    <row r="10" spans="1:5" x14ac:dyDescent="0.35">
      <c r="A10" t="s">
        <v>49</v>
      </c>
      <c r="B10">
        <v>0.22</v>
      </c>
      <c r="C10">
        <v>0.22</v>
      </c>
      <c r="D10">
        <v>0.08</v>
      </c>
      <c r="E10">
        <v>0.1</v>
      </c>
    </row>
    <row r="11" spans="1:5" x14ac:dyDescent="0.35">
      <c r="A11" t="s">
        <v>50</v>
      </c>
      <c r="B11">
        <v>0.22</v>
      </c>
      <c r="C11">
        <v>0.44</v>
      </c>
      <c r="D11">
        <v>0.08</v>
      </c>
      <c r="E11">
        <v>0.1</v>
      </c>
    </row>
    <row r="12" spans="1:5" x14ac:dyDescent="0.35">
      <c r="A12" t="s">
        <v>51</v>
      </c>
      <c r="B12">
        <v>0.22</v>
      </c>
      <c r="C12">
        <v>0.11</v>
      </c>
      <c r="D12">
        <v>0.15</v>
      </c>
      <c r="E12">
        <v>0.1</v>
      </c>
    </row>
    <row r="13" spans="1:5" x14ac:dyDescent="0.35">
      <c r="A13" t="s">
        <v>52</v>
      </c>
      <c r="B13">
        <v>0.22</v>
      </c>
      <c r="C13">
        <v>0.44</v>
      </c>
      <c r="D13">
        <v>0.08</v>
      </c>
      <c r="E13">
        <v>0.1</v>
      </c>
    </row>
    <row r="14" spans="1:5" x14ac:dyDescent="0.35">
      <c r="A14" t="s">
        <v>53</v>
      </c>
      <c r="B14">
        <v>0.22</v>
      </c>
      <c r="C14">
        <v>0.88</v>
      </c>
      <c r="D14">
        <v>0.08</v>
      </c>
      <c r="E14">
        <v>0.1</v>
      </c>
    </row>
    <row r="15" spans="1:5" x14ac:dyDescent="0.35">
      <c r="A15" t="s">
        <v>54</v>
      </c>
      <c r="B15">
        <v>0.22</v>
      </c>
      <c r="C15">
        <v>1.32</v>
      </c>
      <c r="D15">
        <v>0.08</v>
      </c>
      <c r="E15">
        <v>0.1</v>
      </c>
    </row>
    <row r="16" spans="1:5" x14ac:dyDescent="0.35">
      <c r="A16" t="s">
        <v>55</v>
      </c>
      <c r="B16">
        <v>0.22</v>
      </c>
      <c r="C16">
        <v>0.22</v>
      </c>
      <c r="D16">
        <v>0.08</v>
      </c>
      <c r="E16">
        <v>0.1</v>
      </c>
    </row>
    <row r="17" spans="1:5" x14ac:dyDescent="0.35">
      <c r="A17" t="s">
        <v>56</v>
      </c>
      <c r="B17">
        <v>0.11</v>
      </c>
      <c r="C17">
        <v>0.22</v>
      </c>
      <c r="D17">
        <v>0.08</v>
      </c>
      <c r="E17">
        <v>0.1</v>
      </c>
    </row>
    <row r="18" spans="1:5" x14ac:dyDescent="0.35">
      <c r="A18" t="s">
        <v>57</v>
      </c>
      <c r="B18">
        <v>0.22</v>
      </c>
      <c r="C18">
        <v>0.22</v>
      </c>
      <c r="D18">
        <v>0.08</v>
      </c>
      <c r="E18">
        <v>0.1</v>
      </c>
    </row>
    <row r="19" spans="1:5" x14ac:dyDescent="0.35">
      <c r="A19" t="s">
        <v>58</v>
      </c>
      <c r="B19">
        <v>0.22</v>
      </c>
      <c r="C19">
        <v>0.22</v>
      </c>
      <c r="D19">
        <v>0.08</v>
      </c>
      <c r="E19">
        <v>0.1</v>
      </c>
    </row>
    <row r="20" spans="1:5" x14ac:dyDescent="0.35">
      <c r="A20" t="s">
        <v>59</v>
      </c>
      <c r="B20">
        <v>0.4</v>
      </c>
      <c r="C20">
        <v>0.4</v>
      </c>
      <c r="D20">
        <v>0.08</v>
      </c>
      <c r="E20">
        <v>0.1</v>
      </c>
    </row>
    <row r="21" spans="1:5" x14ac:dyDescent="0.35">
      <c r="A21" t="s">
        <v>60</v>
      </c>
      <c r="B21">
        <v>0.5</v>
      </c>
      <c r="C21">
        <v>0.5</v>
      </c>
      <c r="D21">
        <v>0.08</v>
      </c>
      <c r="E21">
        <v>0.1</v>
      </c>
    </row>
    <row r="22" spans="1:5" x14ac:dyDescent="0.35">
      <c r="A22" t="s">
        <v>61</v>
      </c>
      <c r="B22">
        <v>0.25</v>
      </c>
      <c r="C22">
        <v>0.25</v>
      </c>
      <c r="D22">
        <v>0.08</v>
      </c>
      <c r="E22">
        <v>0.1</v>
      </c>
    </row>
    <row r="23" spans="1:5" x14ac:dyDescent="0.35">
      <c r="A23" t="s">
        <v>62</v>
      </c>
      <c r="B23">
        <v>0.36</v>
      </c>
      <c r="C23">
        <v>0.36</v>
      </c>
      <c r="D23">
        <v>0.13</v>
      </c>
      <c r="E23">
        <v>0.1</v>
      </c>
    </row>
    <row r="24" spans="1:5" x14ac:dyDescent="0.35">
      <c r="A24" t="s">
        <v>63</v>
      </c>
      <c r="B24">
        <v>0.22</v>
      </c>
      <c r="C24">
        <v>0.44</v>
      </c>
      <c r="D24">
        <v>0.08</v>
      </c>
      <c r="E24">
        <v>1</v>
      </c>
    </row>
    <row r="25" spans="1:5" x14ac:dyDescent="0.35">
      <c r="A25" t="s">
        <v>64</v>
      </c>
      <c r="B25">
        <v>0.22</v>
      </c>
      <c r="C25">
        <v>0.88</v>
      </c>
      <c r="D25">
        <v>0.08</v>
      </c>
      <c r="E25">
        <v>1</v>
      </c>
    </row>
    <row r="26" spans="1:5" x14ac:dyDescent="0.35">
      <c r="A26" t="s">
        <v>65</v>
      </c>
      <c r="B26">
        <v>0.22</v>
      </c>
      <c r="C26">
        <v>1.32</v>
      </c>
      <c r="D26">
        <v>0.08</v>
      </c>
      <c r="E26">
        <v>1</v>
      </c>
    </row>
    <row r="27" spans="1:5" x14ac:dyDescent="0.35">
      <c r="A27" t="s">
        <v>66</v>
      </c>
      <c r="B27">
        <v>0.22</v>
      </c>
      <c r="C27">
        <v>0.22</v>
      </c>
      <c r="D27">
        <v>0.08</v>
      </c>
      <c r="E27">
        <v>1</v>
      </c>
    </row>
    <row r="28" spans="1:5" x14ac:dyDescent="0.35">
      <c r="A28" t="s">
        <v>67</v>
      </c>
      <c r="B28">
        <v>7.0000000000000007E-2</v>
      </c>
      <c r="C28">
        <v>7.0000000000000007E-2</v>
      </c>
      <c r="D28">
        <v>0.15</v>
      </c>
      <c r="E28">
        <v>1</v>
      </c>
    </row>
    <row r="29" spans="1:5" x14ac:dyDescent="0.35">
      <c r="A29" t="s">
        <v>68</v>
      </c>
      <c r="B29">
        <v>7.0000000000000007E-2</v>
      </c>
      <c r="C29">
        <v>7.0000000000000007E-2</v>
      </c>
      <c r="D29">
        <v>0.1</v>
      </c>
      <c r="E29">
        <v>1</v>
      </c>
    </row>
    <row r="30" spans="1:5" x14ac:dyDescent="0.35">
      <c r="A30" t="s">
        <v>69</v>
      </c>
      <c r="B30">
        <v>0.15</v>
      </c>
      <c r="C30">
        <v>0.2</v>
      </c>
      <c r="D30">
        <v>0.06</v>
      </c>
      <c r="E30">
        <v>1</v>
      </c>
    </row>
    <row r="31" spans="1:5" x14ac:dyDescent="0.35">
      <c r="A31" t="s">
        <v>70</v>
      </c>
      <c r="B31">
        <v>0.06</v>
      </c>
      <c r="C31">
        <v>0.08</v>
      </c>
      <c r="D31">
        <v>0.22</v>
      </c>
      <c r="E31">
        <v>1</v>
      </c>
    </row>
    <row r="32" spans="1:5" x14ac:dyDescent="0.35">
      <c r="A32" t="s">
        <v>71</v>
      </c>
      <c r="B32">
        <v>0.08</v>
      </c>
      <c r="C32">
        <v>0.08</v>
      </c>
      <c r="D32">
        <v>0.15</v>
      </c>
      <c r="E32">
        <v>1</v>
      </c>
    </row>
    <row r="33" spans="1:30" x14ac:dyDescent="0.35">
      <c r="A33" t="s">
        <v>72</v>
      </c>
      <c r="B33">
        <v>0.08</v>
      </c>
      <c r="C33">
        <v>0.08</v>
      </c>
      <c r="D33">
        <v>7.0000000000000007E-2</v>
      </c>
      <c r="E33">
        <v>1</v>
      </c>
    </row>
    <row r="34" spans="1:30" x14ac:dyDescent="0.35">
      <c r="A34" t="s">
        <v>73</v>
      </c>
      <c r="B34">
        <v>0.1</v>
      </c>
      <c r="C34">
        <v>0.12</v>
      </c>
      <c r="D34">
        <v>0.05</v>
      </c>
      <c r="E34">
        <v>1</v>
      </c>
    </row>
    <row r="35" spans="1:30" x14ac:dyDescent="0.35">
      <c r="A35" t="s">
        <v>74</v>
      </c>
      <c r="B35">
        <v>0.3</v>
      </c>
      <c r="C35">
        <v>0.3</v>
      </c>
      <c r="D35">
        <v>0.04</v>
      </c>
      <c r="E35">
        <v>1</v>
      </c>
    </row>
    <row r="36" spans="1:30" x14ac:dyDescent="0.35">
      <c r="A36" t="s">
        <v>75</v>
      </c>
      <c r="B36">
        <v>0.3</v>
      </c>
      <c r="C36">
        <v>0.3</v>
      </c>
      <c r="D36">
        <v>7.0000000000000007E-2</v>
      </c>
      <c r="E36">
        <v>1</v>
      </c>
    </row>
    <row r="37" spans="1:30" x14ac:dyDescent="0.35">
      <c r="A37" t="s">
        <v>76</v>
      </c>
      <c r="B37">
        <v>0.3</v>
      </c>
      <c r="C37">
        <v>0.3</v>
      </c>
      <c r="D37">
        <v>0.1</v>
      </c>
      <c r="E37">
        <v>1</v>
      </c>
    </row>
    <row r="39" spans="1:30" x14ac:dyDescent="0.35">
      <c r="A39" t="s">
        <v>77</v>
      </c>
    </row>
    <row r="40" spans="1:30" x14ac:dyDescent="0.35">
      <c r="A40" t="s">
        <v>78</v>
      </c>
      <c r="B40" t="s">
        <v>48</v>
      </c>
      <c r="C40" t="s">
        <v>49</v>
      </c>
      <c r="D40" t="s">
        <v>50</v>
      </c>
      <c r="E40" t="s">
        <v>51</v>
      </c>
      <c r="F40" t="s">
        <v>52</v>
      </c>
      <c r="G40" t="s">
        <v>53</v>
      </c>
      <c r="H40" t="s">
        <v>54</v>
      </c>
      <c r="I40" t="s">
        <v>55</v>
      </c>
      <c r="J40" t="s">
        <v>56</v>
      </c>
      <c r="K40" t="s">
        <v>57</v>
      </c>
      <c r="L40" t="s">
        <v>58</v>
      </c>
      <c r="M40" t="s">
        <v>59</v>
      </c>
      <c r="N40" t="s">
        <v>60</v>
      </c>
      <c r="O40" t="s">
        <v>61</v>
      </c>
      <c r="P40" t="s">
        <v>62</v>
      </c>
      <c r="Q40" t="s">
        <v>63</v>
      </c>
      <c r="R40" t="s">
        <v>64</v>
      </c>
      <c r="S40" t="s">
        <v>65</v>
      </c>
      <c r="T40" t="s">
        <v>66</v>
      </c>
      <c r="U40" t="s">
        <v>67</v>
      </c>
      <c r="V40" t="s">
        <v>68</v>
      </c>
      <c r="W40" t="s">
        <v>69</v>
      </c>
      <c r="X40" t="s">
        <v>70</v>
      </c>
      <c r="Y40" t="s">
        <v>71</v>
      </c>
      <c r="Z40" t="s">
        <v>72</v>
      </c>
      <c r="AA40" t="s">
        <v>73</v>
      </c>
      <c r="AB40" t="s">
        <v>74</v>
      </c>
      <c r="AC40" t="s">
        <v>75</v>
      </c>
      <c r="AD40" t="s">
        <v>76</v>
      </c>
    </row>
    <row r="41" spans="1:30" x14ac:dyDescent="0.35">
      <c r="A41" t="s">
        <v>44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I41">
        <v>7</v>
      </c>
      <c r="K41">
        <v>8</v>
      </c>
      <c r="L41">
        <v>3</v>
      </c>
      <c r="N41">
        <v>2</v>
      </c>
      <c r="Q41">
        <v>8</v>
      </c>
      <c r="R41">
        <v>2</v>
      </c>
      <c r="S41">
        <v>2</v>
      </c>
      <c r="T41">
        <v>3</v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C41">
        <v>2</v>
      </c>
    </row>
    <row r="42" spans="1:30" x14ac:dyDescent="0.35">
      <c r="A42" t="s">
        <v>45</v>
      </c>
      <c r="B42">
        <v>2</v>
      </c>
      <c r="C42">
        <v>6</v>
      </c>
      <c r="D42">
        <v>8</v>
      </c>
      <c r="E42">
        <v>2</v>
      </c>
      <c r="F42">
        <v>3</v>
      </c>
      <c r="G42">
        <v>4</v>
      </c>
      <c r="J42">
        <v>2</v>
      </c>
      <c r="O42">
        <v>4</v>
      </c>
      <c r="Q42">
        <v>5</v>
      </c>
      <c r="T42">
        <v>4</v>
      </c>
      <c r="W42">
        <v>32</v>
      </c>
      <c r="X42">
        <v>4</v>
      </c>
      <c r="Y42">
        <v>4</v>
      </c>
      <c r="AA42">
        <v>4</v>
      </c>
      <c r="AD42">
        <v>2</v>
      </c>
    </row>
    <row r="43" spans="1:30" x14ac:dyDescent="0.35">
      <c r="A43" t="s">
        <v>46</v>
      </c>
      <c r="B43">
        <v>2</v>
      </c>
      <c r="C43">
        <v>6</v>
      </c>
      <c r="D43">
        <v>8</v>
      </c>
      <c r="E4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O43">
        <v>4</v>
      </c>
      <c r="Q43">
        <v>3</v>
      </c>
      <c r="T43">
        <v>4</v>
      </c>
      <c r="V43">
        <v>2</v>
      </c>
      <c r="W43">
        <v>40</v>
      </c>
      <c r="Z43">
        <v>4</v>
      </c>
      <c r="AA43">
        <v>4</v>
      </c>
      <c r="AD43">
        <v>2</v>
      </c>
    </row>
    <row r="45" spans="1:30" x14ac:dyDescent="0.35">
      <c r="A45" t="s">
        <v>79</v>
      </c>
    </row>
    <row r="46" spans="1:30" x14ac:dyDescent="0.35">
      <c r="A46" t="s">
        <v>80</v>
      </c>
      <c r="B46" t="s">
        <v>44</v>
      </c>
      <c r="C46" t="s">
        <v>45</v>
      </c>
      <c r="D46" t="s">
        <v>46</v>
      </c>
    </row>
    <row r="47" spans="1:30" x14ac:dyDescent="0.35">
      <c r="A47" t="s">
        <v>44</v>
      </c>
    </row>
    <row r="48" spans="1:30" x14ac:dyDescent="0.35">
      <c r="A48" t="s">
        <v>45</v>
      </c>
    </row>
    <row r="49" spans="1:1" x14ac:dyDescent="0.35">
      <c r="A49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6"/>
  <sheetViews>
    <sheetView zoomScaleNormal="100" workbookViewId="0"/>
  </sheetViews>
  <sheetFormatPr baseColWidth="10" defaultColWidth="8.58203125" defaultRowHeight="15.5" x14ac:dyDescent="0.35"/>
  <sheetData>
    <row r="1" spans="1:13" x14ac:dyDescent="0.35">
      <c r="A1" t="s">
        <v>22</v>
      </c>
      <c r="F1" t="s">
        <v>23</v>
      </c>
      <c r="K1" t="s">
        <v>24</v>
      </c>
    </row>
    <row r="2" spans="1:13" x14ac:dyDescent="0.35">
      <c r="A2" t="s">
        <v>81</v>
      </c>
      <c r="B2" t="s">
        <v>44</v>
      </c>
      <c r="C2" t="s">
        <v>45</v>
      </c>
      <c r="D2" t="s">
        <v>46</v>
      </c>
      <c r="F2" t="s">
        <v>81</v>
      </c>
      <c r="G2" t="s">
        <v>44</v>
      </c>
      <c r="H2" t="s">
        <v>45</v>
      </c>
      <c r="I2" t="s">
        <v>46</v>
      </c>
      <c r="K2" t="s">
        <v>81</v>
      </c>
      <c r="L2" t="s">
        <v>44</v>
      </c>
      <c r="M2" t="s">
        <v>45</v>
      </c>
    </row>
    <row r="3" spans="1:13" x14ac:dyDescent="0.35">
      <c r="A3">
        <v>1</v>
      </c>
      <c r="B3">
        <v>10</v>
      </c>
      <c r="C3">
        <v>9</v>
      </c>
      <c r="D3">
        <v>3</v>
      </c>
      <c r="F3">
        <v>1</v>
      </c>
      <c r="G3">
        <v>19</v>
      </c>
      <c r="H3">
        <v>6</v>
      </c>
      <c r="I3">
        <v>6</v>
      </c>
      <c r="K3">
        <v>1</v>
      </c>
      <c r="L3">
        <v>12</v>
      </c>
      <c r="M3">
        <v>9</v>
      </c>
    </row>
    <row r="4" spans="1:13" x14ac:dyDescent="0.35">
      <c r="A4">
        <v>2</v>
      </c>
      <c r="B4">
        <v>7</v>
      </c>
      <c r="C4">
        <v>4</v>
      </c>
      <c r="D4">
        <v>3</v>
      </c>
      <c r="F4">
        <v>2</v>
      </c>
      <c r="G4">
        <v>20</v>
      </c>
      <c r="H4">
        <v>6</v>
      </c>
      <c r="I4">
        <v>5</v>
      </c>
      <c r="K4">
        <v>2</v>
      </c>
      <c r="L4">
        <v>15</v>
      </c>
      <c r="M4">
        <v>4</v>
      </c>
    </row>
    <row r="5" spans="1:13" x14ac:dyDescent="0.35">
      <c r="A5">
        <v>3</v>
      </c>
      <c r="B5">
        <v>9</v>
      </c>
      <c r="C5">
        <v>3</v>
      </c>
      <c r="D5">
        <v>4</v>
      </c>
      <c r="F5">
        <v>3</v>
      </c>
      <c r="G5">
        <v>21</v>
      </c>
      <c r="H5">
        <v>6</v>
      </c>
      <c r="I5">
        <v>8</v>
      </c>
      <c r="K5">
        <v>3</v>
      </c>
      <c r="L5">
        <v>17</v>
      </c>
      <c r="M5">
        <v>5</v>
      </c>
    </row>
    <row r="6" spans="1:13" x14ac:dyDescent="0.35">
      <c r="A6">
        <v>4</v>
      </c>
      <c r="B6">
        <v>5</v>
      </c>
      <c r="C6">
        <v>4</v>
      </c>
      <c r="D6">
        <v>3</v>
      </c>
      <c r="F6">
        <v>4</v>
      </c>
      <c r="G6">
        <v>20</v>
      </c>
      <c r="H6">
        <v>7</v>
      </c>
      <c r="I6">
        <v>9</v>
      </c>
      <c r="K6">
        <v>4</v>
      </c>
      <c r="L6">
        <v>10</v>
      </c>
      <c r="M6">
        <v>6</v>
      </c>
    </row>
    <row r="7" spans="1:13" x14ac:dyDescent="0.35">
      <c r="A7">
        <v>5</v>
      </c>
      <c r="B7">
        <v>5</v>
      </c>
      <c r="C7">
        <v>3</v>
      </c>
      <c r="D7">
        <v>3</v>
      </c>
      <c r="F7">
        <v>5</v>
      </c>
      <c r="G7">
        <v>17</v>
      </c>
      <c r="H7">
        <v>7</v>
      </c>
      <c r="I7">
        <v>7</v>
      </c>
      <c r="K7">
        <v>5</v>
      </c>
      <c r="L7">
        <v>8</v>
      </c>
      <c r="M7">
        <v>12</v>
      </c>
    </row>
    <row r="8" spans="1:13" x14ac:dyDescent="0.35">
      <c r="A8">
        <v>6</v>
      </c>
      <c r="B8">
        <v>4</v>
      </c>
      <c r="C8">
        <v>4</v>
      </c>
      <c r="D8">
        <v>2</v>
      </c>
      <c r="F8">
        <v>6</v>
      </c>
      <c r="G8">
        <v>13</v>
      </c>
      <c r="H8">
        <v>4</v>
      </c>
      <c r="I8">
        <v>7</v>
      </c>
      <c r="K8">
        <v>6</v>
      </c>
      <c r="L8">
        <v>10</v>
      </c>
      <c r="M8">
        <v>13</v>
      </c>
    </row>
    <row r="9" spans="1:13" x14ac:dyDescent="0.35">
      <c r="A9">
        <v>7</v>
      </c>
      <c r="B9">
        <v>6</v>
      </c>
      <c r="C9">
        <v>9</v>
      </c>
      <c r="D9">
        <v>4</v>
      </c>
      <c r="F9">
        <v>7</v>
      </c>
      <c r="G9">
        <v>16</v>
      </c>
      <c r="H9">
        <v>8</v>
      </c>
      <c r="I9">
        <v>8</v>
      </c>
      <c r="K9">
        <v>7</v>
      </c>
      <c r="L9">
        <v>11</v>
      </c>
      <c r="M9">
        <v>10</v>
      </c>
    </row>
    <row r="10" spans="1:13" x14ac:dyDescent="0.35">
      <c r="A10">
        <v>8</v>
      </c>
      <c r="B10">
        <v>4</v>
      </c>
      <c r="C10">
        <v>0</v>
      </c>
      <c r="D10">
        <v>4</v>
      </c>
      <c r="F10">
        <v>8</v>
      </c>
      <c r="G10">
        <v>10</v>
      </c>
      <c r="H10">
        <v>9</v>
      </c>
      <c r="I10">
        <v>11</v>
      </c>
      <c r="K10">
        <v>8</v>
      </c>
      <c r="L10">
        <v>11</v>
      </c>
      <c r="M10">
        <v>3</v>
      </c>
    </row>
    <row r="11" spans="1:13" x14ac:dyDescent="0.35">
      <c r="A11">
        <v>9</v>
      </c>
      <c r="B11">
        <v>7</v>
      </c>
      <c r="C11">
        <v>9</v>
      </c>
      <c r="D11">
        <v>2</v>
      </c>
      <c r="F11">
        <v>9</v>
      </c>
      <c r="G11">
        <v>11</v>
      </c>
      <c r="H11">
        <v>6</v>
      </c>
      <c r="I11">
        <v>9</v>
      </c>
      <c r="K11">
        <v>9</v>
      </c>
      <c r="L11">
        <v>11</v>
      </c>
      <c r="M11">
        <v>7</v>
      </c>
    </row>
    <row r="12" spans="1:13" x14ac:dyDescent="0.35">
      <c r="A12">
        <v>10</v>
      </c>
      <c r="B12">
        <v>6</v>
      </c>
      <c r="C12">
        <v>3</v>
      </c>
      <c r="D12">
        <v>4</v>
      </c>
      <c r="F12">
        <v>10</v>
      </c>
      <c r="G12">
        <v>11</v>
      </c>
      <c r="H12">
        <v>8</v>
      </c>
      <c r="I12">
        <v>9</v>
      </c>
      <c r="K12">
        <v>10</v>
      </c>
      <c r="L12">
        <v>11</v>
      </c>
      <c r="M12">
        <v>11</v>
      </c>
    </row>
    <row r="13" spans="1:13" x14ac:dyDescent="0.35">
      <c r="A13">
        <v>11</v>
      </c>
      <c r="B13">
        <v>13</v>
      </c>
      <c r="C13">
        <v>1</v>
      </c>
      <c r="D13">
        <v>6</v>
      </c>
      <c r="F13">
        <v>11</v>
      </c>
      <c r="G13">
        <v>15</v>
      </c>
      <c r="H13">
        <v>8</v>
      </c>
      <c r="I13">
        <v>9</v>
      </c>
      <c r="K13">
        <v>11</v>
      </c>
      <c r="L13">
        <v>14</v>
      </c>
      <c r="M13">
        <v>6</v>
      </c>
    </row>
    <row r="14" spans="1:13" x14ac:dyDescent="0.35">
      <c r="A14">
        <v>12</v>
      </c>
      <c r="B14">
        <v>8</v>
      </c>
      <c r="C14">
        <v>12</v>
      </c>
      <c r="D14">
        <v>4</v>
      </c>
      <c r="F14">
        <v>12</v>
      </c>
      <c r="G14">
        <v>14</v>
      </c>
      <c r="H14">
        <v>8</v>
      </c>
      <c r="I14">
        <v>11</v>
      </c>
      <c r="K14">
        <v>12</v>
      </c>
      <c r="L14">
        <v>17</v>
      </c>
      <c r="M14">
        <v>10</v>
      </c>
    </row>
    <row r="15" spans="1:13" x14ac:dyDescent="0.35">
      <c r="A15">
        <v>13</v>
      </c>
      <c r="B15">
        <v>9</v>
      </c>
      <c r="C15">
        <v>5</v>
      </c>
      <c r="D15">
        <v>4</v>
      </c>
      <c r="F15">
        <v>13</v>
      </c>
      <c r="G15">
        <v>20</v>
      </c>
      <c r="H15">
        <v>4</v>
      </c>
      <c r="I15">
        <v>13</v>
      </c>
      <c r="K15">
        <v>13</v>
      </c>
      <c r="L15">
        <v>15</v>
      </c>
      <c r="M15">
        <v>4</v>
      </c>
    </row>
    <row r="16" spans="1:13" x14ac:dyDescent="0.35">
      <c r="A16">
        <v>14</v>
      </c>
      <c r="B16">
        <v>10</v>
      </c>
      <c r="C16">
        <v>4</v>
      </c>
      <c r="D16">
        <v>1</v>
      </c>
      <c r="F16">
        <v>14</v>
      </c>
      <c r="G16">
        <v>24</v>
      </c>
      <c r="H16">
        <v>9</v>
      </c>
      <c r="I16">
        <v>1</v>
      </c>
      <c r="K16">
        <v>14</v>
      </c>
      <c r="L16">
        <v>15</v>
      </c>
      <c r="M16">
        <v>8</v>
      </c>
    </row>
    <row r="17" spans="1:13" x14ac:dyDescent="0.35">
      <c r="A17">
        <v>15</v>
      </c>
      <c r="B17">
        <v>9</v>
      </c>
      <c r="C17">
        <v>7</v>
      </c>
      <c r="D17">
        <v>2</v>
      </c>
      <c r="F17">
        <v>15</v>
      </c>
      <c r="G17">
        <v>13</v>
      </c>
      <c r="H17">
        <v>8</v>
      </c>
      <c r="I17">
        <v>5</v>
      </c>
      <c r="K17">
        <v>15</v>
      </c>
      <c r="L17">
        <v>17</v>
      </c>
      <c r="M17">
        <v>9</v>
      </c>
    </row>
    <row r="18" spans="1:13" x14ac:dyDescent="0.35">
      <c r="A18">
        <v>16</v>
      </c>
      <c r="B18">
        <v>11</v>
      </c>
      <c r="C18">
        <v>4</v>
      </c>
      <c r="D18">
        <v>3</v>
      </c>
      <c r="F18">
        <v>16</v>
      </c>
      <c r="G18">
        <v>12</v>
      </c>
      <c r="H18">
        <v>5</v>
      </c>
      <c r="I18">
        <v>9</v>
      </c>
      <c r="K18">
        <v>16</v>
      </c>
      <c r="L18">
        <v>12</v>
      </c>
      <c r="M18">
        <v>12</v>
      </c>
    </row>
    <row r="19" spans="1:13" x14ac:dyDescent="0.35">
      <c r="A19">
        <v>17</v>
      </c>
      <c r="B19">
        <v>4</v>
      </c>
      <c r="C19">
        <v>6</v>
      </c>
      <c r="D19">
        <v>1</v>
      </c>
      <c r="F19">
        <v>17</v>
      </c>
      <c r="G19">
        <v>13</v>
      </c>
      <c r="H19">
        <v>8</v>
      </c>
      <c r="I19">
        <v>9</v>
      </c>
      <c r="K19">
        <v>17</v>
      </c>
      <c r="L19">
        <v>14</v>
      </c>
      <c r="M19">
        <v>4</v>
      </c>
    </row>
    <row r="20" spans="1:13" x14ac:dyDescent="0.35">
      <c r="A20">
        <v>18</v>
      </c>
      <c r="B20">
        <v>8</v>
      </c>
      <c r="C20">
        <v>11</v>
      </c>
      <c r="D20">
        <v>1</v>
      </c>
      <c r="F20">
        <v>18</v>
      </c>
      <c r="G20">
        <v>17</v>
      </c>
      <c r="H20">
        <v>9</v>
      </c>
      <c r="I20">
        <v>5</v>
      </c>
      <c r="K20">
        <v>18</v>
      </c>
      <c r="L20">
        <v>11</v>
      </c>
      <c r="M20">
        <v>9</v>
      </c>
    </row>
    <row r="21" spans="1:13" x14ac:dyDescent="0.35">
      <c r="A21">
        <v>19</v>
      </c>
      <c r="B21">
        <v>3</v>
      </c>
      <c r="C21">
        <v>1</v>
      </c>
      <c r="D21">
        <v>4</v>
      </c>
      <c r="F21">
        <v>19</v>
      </c>
      <c r="G21">
        <v>11</v>
      </c>
      <c r="H21">
        <v>11</v>
      </c>
      <c r="I21">
        <v>9</v>
      </c>
      <c r="K21">
        <v>19</v>
      </c>
      <c r="L21">
        <v>8</v>
      </c>
      <c r="M21">
        <v>9</v>
      </c>
    </row>
    <row r="22" spans="1:13" x14ac:dyDescent="0.35">
      <c r="A22">
        <v>20</v>
      </c>
      <c r="B22">
        <v>4</v>
      </c>
      <c r="C22">
        <v>6</v>
      </c>
      <c r="D22">
        <v>5</v>
      </c>
      <c r="F22">
        <v>20</v>
      </c>
      <c r="G22">
        <v>11</v>
      </c>
      <c r="H22">
        <v>8</v>
      </c>
      <c r="I22">
        <v>10</v>
      </c>
      <c r="K22">
        <v>20</v>
      </c>
      <c r="L22">
        <v>11</v>
      </c>
      <c r="M22">
        <v>13</v>
      </c>
    </row>
    <row r="23" spans="1:13" x14ac:dyDescent="0.35">
      <c r="A23">
        <v>21</v>
      </c>
      <c r="B23">
        <v>3</v>
      </c>
      <c r="C23">
        <v>5</v>
      </c>
      <c r="D23">
        <v>3</v>
      </c>
      <c r="F23">
        <v>21</v>
      </c>
      <c r="G23">
        <v>13</v>
      </c>
      <c r="H23">
        <v>9</v>
      </c>
      <c r="I23">
        <v>14</v>
      </c>
      <c r="K23">
        <v>21</v>
      </c>
      <c r="L23">
        <v>9</v>
      </c>
      <c r="M23">
        <v>10</v>
      </c>
    </row>
    <row r="24" spans="1:13" x14ac:dyDescent="0.35">
      <c r="A24">
        <v>22</v>
      </c>
      <c r="B24">
        <v>7</v>
      </c>
      <c r="C24">
        <v>6</v>
      </c>
      <c r="D24">
        <v>6</v>
      </c>
      <c r="F24">
        <v>22</v>
      </c>
      <c r="G24">
        <v>15</v>
      </c>
      <c r="H24">
        <v>14</v>
      </c>
      <c r="I24">
        <v>14</v>
      </c>
      <c r="K24">
        <v>22</v>
      </c>
      <c r="L24">
        <v>13</v>
      </c>
      <c r="M24">
        <v>8</v>
      </c>
    </row>
    <row r="25" spans="1:13" x14ac:dyDescent="0.35">
      <c r="A25">
        <v>23</v>
      </c>
      <c r="B25">
        <v>10</v>
      </c>
      <c r="C25">
        <v>6</v>
      </c>
      <c r="D25">
        <v>0</v>
      </c>
      <c r="F25">
        <v>23</v>
      </c>
      <c r="G25">
        <v>17</v>
      </c>
      <c r="H25">
        <v>8</v>
      </c>
      <c r="I25">
        <v>5</v>
      </c>
      <c r="K25">
        <v>23</v>
      </c>
      <c r="L25">
        <v>14</v>
      </c>
      <c r="M25">
        <v>4</v>
      </c>
    </row>
    <row r="26" spans="1:13" x14ac:dyDescent="0.35">
      <c r="A26">
        <v>24</v>
      </c>
      <c r="B26">
        <v>8</v>
      </c>
      <c r="C26">
        <v>5</v>
      </c>
      <c r="D26">
        <v>1</v>
      </c>
      <c r="F26">
        <v>24</v>
      </c>
      <c r="G26">
        <v>24</v>
      </c>
      <c r="H26">
        <v>11</v>
      </c>
      <c r="I26">
        <v>10</v>
      </c>
      <c r="K26">
        <v>24</v>
      </c>
      <c r="L26">
        <v>14</v>
      </c>
      <c r="M26">
        <v>9</v>
      </c>
    </row>
    <row r="27" spans="1:13" x14ac:dyDescent="0.35">
      <c r="A27">
        <v>25</v>
      </c>
      <c r="B27">
        <v>11</v>
      </c>
      <c r="C27">
        <v>2</v>
      </c>
      <c r="D27">
        <v>7</v>
      </c>
      <c r="F27">
        <v>25</v>
      </c>
      <c r="G27">
        <v>21</v>
      </c>
      <c r="H27">
        <v>4</v>
      </c>
      <c r="I27">
        <v>9</v>
      </c>
      <c r="K27">
        <v>25</v>
      </c>
      <c r="L27">
        <v>15</v>
      </c>
      <c r="M27">
        <v>10</v>
      </c>
    </row>
    <row r="28" spans="1:13" x14ac:dyDescent="0.35">
      <c r="A28">
        <v>26</v>
      </c>
      <c r="B28">
        <v>12</v>
      </c>
      <c r="C28">
        <v>7</v>
      </c>
      <c r="D28">
        <v>7</v>
      </c>
      <c r="F28">
        <v>26</v>
      </c>
      <c r="G28">
        <v>20</v>
      </c>
      <c r="H28">
        <v>9</v>
      </c>
      <c r="I28">
        <v>12</v>
      </c>
      <c r="K28">
        <v>26</v>
      </c>
      <c r="L28">
        <v>17</v>
      </c>
      <c r="M28">
        <v>11</v>
      </c>
    </row>
    <row r="29" spans="1:13" x14ac:dyDescent="0.35">
      <c r="A29">
        <v>27</v>
      </c>
      <c r="B29">
        <v>9</v>
      </c>
      <c r="C29">
        <v>6</v>
      </c>
      <c r="D29">
        <v>2</v>
      </c>
      <c r="F29">
        <v>27</v>
      </c>
      <c r="G29">
        <v>24</v>
      </c>
      <c r="H29">
        <v>8</v>
      </c>
      <c r="I29">
        <v>5</v>
      </c>
      <c r="K29">
        <v>27</v>
      </c>
      <c r="L29">
        <v>15</v>
      </c>
      <c r="M29">
        <v>11</v>
      </c>
    </row>
    <row r="30" spans="1:13" x14ac:dyDescent="0.35">
      <c r="A30">
        <v>28</v>
      </c>
      <c r="B30">
        <v>8</v>
      </c>
      <c r="C30">
        <v>1</v>
      </c>
      <c r="D30">
        <v>4</v>
      </c>
      <c r="F30">
        <v>28</v>
      </c>
      <c r="G30">
        <v>23</v>
      </c>
      <c r="H30">
        <v>10</v>
      </c>
      <c r="I30">
        <v>10</v>
      </c>
      <c r="K30">
        <v>28</v>
      </c>
      <c r="L30">
        <v>16</v>
      </c>
      <c r="M30">
        <v>12</v>
      </c>
    </row>
    <row r="31" spans="1:13" x14ac:dyDescent="0.35">
      <c r="A31">
        <v>29</v>
      </c>
      <c r="B31">
        <v>7</v>
      </c>
      <c r="C31">
        <v>8</v>
      </c>
      <c r="D31">
        <v>0</v>
      </c>
      <c r="F31">
        <v>29</v>
      </c>
      <c r="G31">
        <v>17</v>
      </c>
      <c r="H31">
        <v>8</v>
      </c>
      <c r="I31">
        <v>8</v>
      </c>
      <c r="K31">
        <v>29</v>
      </c>
      <c r="L31">
        <v>13</v>
      </c>
      <c r="M31">
        <v>8</v>
      </c>
    </row>
    <row r="32" spans="1:13" x14ac:dyDescent="0.35">
      <c r="A32">
        <v>30</v>
      </c>
      <c r="B32">
        <v>8</v>
      </c>
      <c r="C32">
        <v>1</v>
      </c>
      <c r="D32">
        <v>1</v>
      </c>
      <c r="F32">
        <v>30</v>
      </c>
      <c r="G32">
        <v>14</v>
      </c>
      <c r="H32">
        <v>7</v>
      </c>
      <c r="I32">
        <v>5</v>
      </c>
      <c r="K32">
        <v>30</v>
      </c>
      <c r="L32">
        <v>12</v>
      </c>
      <c r="M32">
        <v>11</v>
      </c>
    </row>
    <row r="33" spans="1:13" x14ac:dyDescent="0.35">
      <c r="A33">
        <v>31</v>
      </c>
      <c r="B33">
        <v>4</v>
      </c>
      <c r="C33">
        <v>4</v>
      </c>
      <c r="D33">
        <v>5</v>
      </c>
      <c r="F33">
        <v>31</v>
      </c>
      <c r="G33">
        <v>14</v>
      </c>
      <c r="H33">
        <v>8</v>
      </c>
      <c r="I33">
        <v>13</v>
      </c>
      <c r="K33">
        <v>31</v>
      </c>
      <c r="L33">
        <v>11</v>
      </c>
      <c r="M33">
        <v>6</v>
      </c>
    </row>
    <row r="34" spans="1:13" x14ac:dyDescent="0.35">
      <c r="A34">
        <v>32</v>
      </c>
      <c r="B34">
        <v>5</v>
      </c>
      <c r="C34">
        <v>7</v>
      </c>
      <c r="D34">
        <v>0</v>
      </c>
      <c r="F34">
        <v>32</v>
      </c>
      <c r="G34">
        <v>16</v>
      </c>
      <c r="H34">
        <v>9</v>
      </c>
      <c r="I34">
        <v>11</v>
      </c>
      <c r="K34">
        <v>32</v>
      </c>
      <c r="L34">
        <v>13</v>
      </c>
      <c r="M34">
        <v>7</v>
      </c>
    </row>
    <row r="35" spans="1:13" x14ac:dyDescent="0.35">
      <c r="A35">
        <v>33</v>
      </c>
      <c r="B35">
        <v>5</v>
      </c>
      <c r="C35">
        <v>4</v>
      </c>
      <c r="D35">
        <v>5</v>
      </c>
      <c r="F35">
        <v>33</v>
      </c>
      <c r="G35">
        <v>14</v>
      </c>
      <c r="H35">
        <v>7</v>
      </c>
      <c r="I35">
        <v>3</v>
      </c>
      <c r="K35">
        <v>33</v>
      </c>
      <c r="L35">
        <v>10</v>
      </c>
      <c r="M35">
        <v>6</v>
      </c>
    </row>
    <row r="36" spans="1:13" x14ac:dyDescent="0.35">
      <c r="A36">
        <v>34</v>
      </c>
      <c r="B36">
        <v>6</v>
      </c>
      <c r="C36">
        <v>6</v>
      </c>
      <c r="D36">
        <v>3</v>
      </c>
      <c r="F36">
        <v>34</v>
      </c>
      <c r="G36">
        <v>11</v>
      </c>
      <c r="H36">
        <v>10</v>
      </c>
      <c r="I36">
        <v>14</v>
      </c>
      <c r="K36">
        <v>34</v>
      </c>
      <c r="L36">
        <v>12</v>
      </c>
      <c r="M36">
        <v>8</v>
      </c>
    </row>
    <row r="37" spans="1:13" x14ac:dyDescent="0.35">
      <c r="A37">
        <v>35</v>
      </c>
      <c r="B37">
        <v>5</v>
      </c>
      <c r="C37">
        <v>9</v>
      </c>
      <c r="D37">
        <v>1</v>
      </c>
      <c r="F37">
        <v>35</v>
      </c>
      <c r="G37">
        <v>12</v>
      </c>
      <c r="H37">
        <v>7</v>
      </c>
      <c r="I37">
        <v>8</v>
      </c>
      <c r="K37">
        <v>35</v>
      </c>
      <c r="L37">
        <v>13</v>
      </c>
      <c r="M37">
        <v>14</v>
      </c>
    </row>
    <row r="38" spans="1:13" x14ac:dyDescent="0.35">
      <c r="A38">
        <v>36</v>
      </c>
      <c r="B38">
        <v>9</v>
      </c>
      <c r="C38">
        <v>5</v>
      </c>
      <c r="D38">
        <v>7</v>
      </c>
      <c r="F38">
        <v>36</v>
      </c>
      <c r="G38">
        <v>18</v>
      </c>
      <c r="H38">
        <v>6</v>
      </c>
      <c r="I38">
        <v>14</v>
      </c>
      <c r="K38">
        <v>36</v>
      </c>
      <c r="L38">
        <v>15</v>
      </c>
      <c r="M38">
        <v>8</v>
      </c>
    </row>
    <row r="39" spans="1:13" x14ac:dyDescent="0.35">
      <c r="A39">
        <v>37</v>
      </c>
      <c r="B39">
        <v>9</v>
      </c>
      <c r="C39">
        <v>9</v>
      </c>
      <c r="D39">
        <v>3</v>
      </c>
      <c r="F39">
        <v>37</v>
      </c>
      <c r="G39">
        <v>19</v>
      </c>
      <c r="H39">
        <v>9</v>
      </c>
      <c r="I39">
        <v>8</v>
      </c>
      <c r="K39">
        <v>37</v>
      </c>
      <c r="L39">
        <v>16</v>
      </c>
      <c r="M39">
        <v>11</v>
      </c>
    </row>
    <row r="40" spans="1:13" x14ac:dyDescent="0.35">
      <c r="A40">
        <v>38</v>
      </c>
      <c r="B40">
        <v>10</v>
      </c>
      <c r="C40">
        <v>12</v>
      </c>
      <c r="D40">
        <v>3</v>
      </c>
      <c r="F40">
        <v>38</v>
      </c>
      <c r="G40">
        <v>18</v>
      </c>
      <c r="H40">
        <v>7</v>
      </c>
      <c r="I40">
        <v>12</v>
      </c>
      <c r="K40">
        <v>38</v>
      </c>
      <c r="L40">
        <v>16</v>
      </c>
      <c r="M40">
        <v>12</v>
      </c>
    </row>
    <row r="41" spans="1:13" x14ac:dyDescent="0.35">
      <c r="A41">
        <v>39</v>
      </c>
      <c r="B41">
        <v>9</v>
      </c>
      <c r="C41">
        <v>9</v>
      </c>
      <c r="D41">
        <v>5</v>
      </c>
      <c r="F41">
        <v>39</v>
      </c>
      <c r="G41">
        <v>27</v>
      </c>
      <c r="H41">
        <v>9</v>
      </c>
      <c r="I41">
        <v>8</v>
      </c>
      <c r="K41">
        <v>39</v>
      </c>
      <c r="L41">
        <v>14</v>
      </c>
      <c r="M41">
        <v>13</v>
      </c>
    </row>
    <row r="42" spans="1:13" x14ac:dyDescent="0.35">
      <c r="A42">
        <v>40</v>
      </c>
      <c r="B42">
        <v>11</v>
      </c>
      <c r="C42">
        <v>7</v>
      </c>
      <c r="D42">
        <v>5</v>
      </c>
      <c r="F42">
        <v>40</v>
      </c>
      <c r="G42">
        <v>19</v>
      </c>
      <c r="H42">
        <v>8</v>
      </c>
      <c r="I42">
        <v>15</v>
      </c>
      <c r="K42">
        <v>40</v>
      </c>
      <c r="L42">
        <v>17</v>
      </c>
      <c r="M42">
        <v>12</v>
      </c>
    </row>
    <row r="43" spans="1:13" x14ac:dyDescent="0.35">
      <c r="A43">
        <v>41</v>
      </c>
      <c r="B43">
        <v>9</v>
      </c>
      <c r="C43">
        <v>2</v>
      </c>
      <c r="D43">
        <v>2</v>
      </c>
      <c r="F43">
        <v>41</v>
      </c>
      <c r="G43">
        <v>19</v>
      </c>
      <c r="H43">
        <v>6</v>
      </c>
      <c r="I43">
        <v>11</v>
      </c>
      <c r="K43">
        <v>41</v>
      </c>
      <c r="L43">
        <v>15</v>
      </c>
      <c r="M43">
        <v>13</v>
      </c>
    </row>
    <row r="44" spans="1:13" x14ac:dyDescent="0.35">
      <c r="A44">
        <v>42</v>
      </c>
      <c r="B44">
        <v>12</v>
      </c>
      <c r="C44">
        <v>4</v>
      </c>
      <c r="D44">
        <v>2</v>
      </c>
      <c r="F44">
        <v>42</v>
      </c>
      <c r="G44">
        <v>16</v>
      </c>
      <c r="H44">
        <v>8</v>
      </c>
      <c r="I44">
        <v>15</v>
      </c>
      <c r="K44">
        <v>42</v>
      </c>
      <c r="L44">
        <v>15</v>
      </c>
      <c r="M44">
        <v>7</v>
      </c>
    </row>
    <row r="45" spans="1:13" x14ac:dyDescent="0.35">
      <c r="A45">
        <v>43</v>
      </c>
      <c r="B45">
        <v>6</v>
      </c>
      <c r="C45">
        <v>4</v>
      </c>
      <c r="D45">
        <v>5</v>
      </c>
      <c r="F45">
        <v>43</v>
      </c>
      <c r="G45">
        <v>16</v>
      </c>
      <c r="H45">
        <v>9</v>
      </c>
      <c r="I45">
        <v>12</v>
      </c>
      <c r="K45">
        <v>43</v>
      </c>
      <c r="L45">
        <v>12</v>
      </c>
      <c r="M45">
        <v>5</v>
      </c>
    </row>
    <row r="46" spans="1:13" x14ac:dyDescent="0.35">
      <c r="A46">
        <v>44</v>
      </c>
      <c r="B46">
        <v>6</v>
      </c>
      <c r="C46">
        <v>6</v>
      </c>
      <c r="D46">
        <v>3</v>
      </c>
      <c r="F46">
        <v>44</v>
      </c>
      <c r="G46">
        <v>16</v>
      </c>
      <c r="H46">
        <v>8</v>
      </c>
      <c r="I46">
        <v>8</v>
      </c>
      <c r="K46">
        <v>44</v>
      </c>
      <c r="L46">
        <v>13</v>
      </c>
      <c r="M46">
        <v>8</v>
      </c>
    </row>
    <row r="47" spans="1:13" x14ac:dyDescent="0.35">
      <c r="A47">
        <v>45</v>
      </c>
      <c r="B47">
        <v>6</v>
      </c>
      <c r="C47">
        <v>8</v>
      </c>
      <c r="D47">
        <v>1</v>
      </c>
      <c r="F47">
        <v>45</v>
      </c>
      <c r="G47">
        <v>17</v>
      </c>
      <c r="H47">
        <v>7</v>
      </c>
      <c r="I47">
        <v>8</v>
      </c>
      <c r="K47">
        <v>45</v>
      </c>
      <c r="L47">
        <v>15</v>
      </c>
      <c r="M47">
        <v>10</v>
      </c>
    </row>
    <row r="48" spans="1:13" x14ac:dyDescent="0.35">
      <c r="A48">
        <v>46</v>
      </c>
      <c r="B48">
        <v>5</v>
      </c>
      <c r="C48">
        <v>1</v>
      </c>
      <c r="D48">
        <v>2</v>
      </c>
      <c r="F48">
        <v>46</v>
      </c>
      <c r="G48">
        <v>16</v>
      </c>
      <c r="H48">
        <v>10</v>
      </c>
      <c r="I48">
        <v>12</v>
      </c>
      <c r="K48">
        <v>46</v>
      </c>
      <c r="L48">
        <v>9</v>
      </c>
      <c r="M48">
        <v>5</v>
      </c>
    </row>
    <row r="49" spans="1:13" x14ac:dyDescent="0.35">
      <c r="A49">
        <v>47</v>
      </c>
      <c r="B49">
        <v>8</v>
      </c>
      <c r="C49">
        <v>11</v>
      </c>
      <c r="D49">
        <v>3</v>
      </c>
      <c r="F49">
        <v>47</v>
      </c>
      <c r="G49">
        <v>18</v>
      </c>
      <c r="H49">
        <v>9</v>
      </c>
      <c r="I49">
        <v>11</v>
      </c>
      <c r="K49">
        <v>47</v>
      </c>
      <c r="L49">
        <v>13</v>
      </c>
      <c r="M49">
        <v>7</v>
      </c>
    </row>
    <row r="50" spans="1:13" x14ac:dyDescent="0.35">
      <c r="A50">
        <v>48</v>
      </c>
      <c r="B50">
        <v>7</v>
      </c>
      <c r="C50">
        <v>9</v>
      </c>
      <c r="D50">
        <v>4</v>
      </c>
      <c r="F50">
        <v>48</v>
      </c>
      <c r="G50">
        <v>15</v>
      </c>
      <c r="H50">
        <v>6</v>
      </c>
      <c r="I50">
        <v>9</v>
      </c>
      <c r="K50">
        <v>48</v>
      </c>
      <c r="L50">
        <v>18</v>
      </c>
      <c r="M50">
        <v>11</v>
      </c>
    </row>
    <row r="51" spans="1:13" x14ac:dyDescent="0.35">
      <c r="A51">
        <v>49</v>
      </c>
      <c r="B51">
        <v>10</v>
      </c>
      <c r="C51">
        <v>14</v>
      </c>
      <c r="D51">
        <v>3</v>
      </c>
      <c r="F51">
        <v>49</v>
      </c>
      <c r="G51">
        <v>24</v>
      </c>
      <c r="H51">
        <v>11</v>
      </c>
      <c r="I51">
        <v>6</v>
      </c>
      <c r="K51">
        <v>49</v>
      </c>
      <c r="L51">
        <v>18</v>
      </c>
      <c r="M51">
        <v>15</v>
      </c>
    </row>
    <row r="52" spans="1:13" x14ac:dyDescent="0.35">
      <c r="A52">
        <v>50</v>
      </c>
      <c r="B52">
        <v>10</v>
      </c>
      <c r="C52">
        <v>5</v>
      </c>
      <c r="D52">
        <v>6</v>
      </c>
      <c r="F52">
        <v>50</v>
      </c>
      <c r="G52">
        <v>18</v>
      </c>
      <c r="H52">
        <v>7</v>
      </c>
      <c r="I52">
        <v>7</v>
      </c>
      <c r="K52">
        <v>50</v>
      </c>
      <c r="L52">
        <v>14</v>
      </c>
      <c r="M52">
        <v>9</v>
      </c>
    </row>
    <row r="53" spans="1:13" x14ac:dyDescent="0.35">
      <c r="A53">
        <v>51</v>
      </c>
      <c r="B53">
        <v>11</v>
      </c>
      <c r="C53">
        <v>8</v>
      </c>
      <c r="D53">
        <v>3</v>
      </c>
      <c r="F53">
        <v>51</v>
      </c>
      <c r="G53">
        <v>22</v>
      </c>
      <c r="H53">
        <v>10</v>
      </c>
      <c r="I53">
        <v>3</v>
      </c>
      <c r="K53">
        <v>51</v>
      </c>
      <c r="L53">
        <v>14</v>
      </c>
      <c r="M53">
        <v>12</v>
      </c>
    </row>
    <row r="54" spans="1:13" x14ac:dyDescent="0.35">
      <c r="A54">
        <v>52</v>
      </c>
      <c r="B54">
        <v>13</v>
      </c>
      <c r="C54">
        <v>7</v>
      </c>
      <c r="D54">
        <v>1</v>
      </c>
      <c r="F54">
        <v>52</v>
      </c>
      <c r="G54">
        <v>16</v>
      </c>
      <c r="H54">
        <v>10</v>
      </c>
      <c r="I54">
        <v>8</v>
      </c>
      <c r="K54">
        <v>52</v>
      </c>
      <c r="L54">
        <v>12</v>
      </c>
      <c r="M54">
        <v>4</v>
      </c>
    </row>
    <row r="55" spans="1:13" x14ac:dyDescent="0.35">
      <c r="A55">
        <v>53</v>
      </c>
      <c r="B55">
        <v>12</v>
      </c>
      <c r="C55">
        <v>6</v>
      </c>
      <c r="D55">
        <v>0</v>
      </c>
      <c r="F55">
        <v>53</v>
      </c>
      <c r="G55">
        <v>21</v>
      </c>
      <c r="H55">
        <v>10</v>
      </c>
      <c r="I55">
        <v>9</v>
      </c>
      <c r="K55">
        <v>53</v>
      </c>
      <c r="L55">
        <v>16</v>
      </c>
      <c r="M55">
        <v>10</v>
      </c>
    </row>
    <row r="56" spans="1:13" x14ac:dyDescent="0.35">
      <c r="A56">
        <v>54</v>
      </c>
      <c r="B56">
        <v>12</v>
      </c>
      <c r="C56">
        <v>7</v>
      </c>
      <c r="D56">
        <v>5</v>
      </c>
      <c r="F56">
        <v>54</v>
      </c>
      <c r="G56">
        <v>20</v>
      </c>
      <c r="H56">
        <v>9</v>
      </c>
      <c r="I56">
        <v>5</v>
      </c>
      <c r="K56">
        <v>54</v>
      </c>
      <c r="L56">
        <v>17</v>
      </c>
      <c r="M56">
        <v>9</v>
      </c>
    </row>
    <row r="57" spans="1:13" x14ac:dyDescent="0.35">
      <c r="A57">
        <v>55</v>
      </c>
      <c r="B57">
        <v>7</v>
      </c>
      <c r="C57">
        <v>6</v>
      </c>
      <c r="D57">
        <v>3</v>
      </c>
      <c r="F57">
        <v>55</v>
      </c>
      <c r="G57">
        <v>20</v>
      </c>
      <c r="H57">
        <v>7</v>
      </c>
      <c r="I57">
        <v>13</v>
      </c>
      <c r="K57">
        <v>55</v>
      </c>
      <c r="L57">
        <v>14</v>
      </c>
      <c r="M57">
        <v>10</v>
      </c>
    </row>
    <row r="58" spans="1:13" x14ac:dyDescent="0.35">
      <c r="A58">
        <v>56</v>
      </c>
      <c r="B58">
        <v>6</v>
      </c>
      <c r="C58">
        <v>1</v>
      </c>
      <c r="D58">
        <v>4</v>
      </c>
      <c r="F58">
        <v>56</v>
      </c>
      <c r="G58">
        <v>22</v>
      </c>
      <c r="H58">
        <v>7</v>
      </c>
      <c r="I58">
        <v>7</v>
      </c>
      <c r="K58">
        <v>56</v>
      </c>
      <c r="L58">
        <v>12</v>
      </c>
      <c r="M58">
        <v>13</v>
      </c>
    </row>
    <row r="59" spans="1:13" x14ac:dyDescent="0.35">
      <c r="A59">
        <v>57</v>
      </c>
      <c r="B59">
        <v>5</v>
      </c>
      <c r="C59">
        <v>10</v>
      </c>
      <c r="D59">
        <v>3</v>
      </c>
      <c r="F59">
        <v>57</v>
      </c>
      <c r="G59">
        <v>19</v>
      </c>
      <c r="H59">
        <v>9</v>
      </c>
      <c r="I59">
        <v>6</v>
      </c>
      <c r="K59">
        <v>57</v>
      </c>
      <c r="L59">
        <v>11</v>
      </c>
      <c r="M59">
        <v>9</v>
      </c>
    </row>
    <row r="60" spans="1:13" x14ac:dyDescent="0.35">
      <c r="A60">
        <v>58</v>
      </c>
      <c r="B60">
        <v>4</v>
      </c>
      <c r="C60">
        <v>9</v>
      </c>
      <c r="D60">
        <v>0</v>
      </c>
      <c r="F60">
        <v>58</v>
      </c>
      <c r="G60">
        <v>15</v>
      </c>
      <c r="H60">
        <v>9</v>
      </c>
      <c r="I60">
        <v>8</v>
      </c>
      <c r="K60">
        <v>58</v>
      </c>
      <c r="L60">
        <v>12</v>
      </c>
      <c r="M60">
        <v>4</v>
      </c>
    </row>
    <row r="61" spans="1:13" x14ac:dyDescent="0.35">
      <c r="A61">
        <v>59</v>
      </c>
      <c r="B61">
        <v>7</v>
      </c>
      <c r="C61">
        <v>8</v>
      </c>
      <c r="D61">
        <v>6</v>
      </c>
      <c r="F61">
        <v>59</v>
      </c>
      <c r="G61">
        <v>13</v>
      </c>
      <c r="H61">
        <v>11</v>
      </c>
      <c r="I61">
        <v>5</v>
      </c>
      <c r="K61">
        <v>59</v>
      </c>
      <c r="L61">
        <v>10</v>
      </c>
      <c r="M61">
        <v>9</v>
      </c>
    </row>
    <row r="62" spans="1:13" x14ac:dyDescent="0.35">
      <c r="A62">
        <v>60</v>
      </c>
      <c r="B62">
        <v>12</v>
      </c>
      <c r="C62">
        <v>10</v>
      </c>
      <c r="D62">
        <v>2</v>
      </c>
      <c r="F62">
        <v>60</v>
      </c>
      <c r="G62">
        <v>19</v>
      </c>
      <c r="H62">
        <v>9</v>
      </c>
      <c r="I62">
        <v>9</v>
      </c>
      <c r="K62">
        <v>60</v>
      </c>
      <c r="L62">
        <v>11</v>
      </c>
      <c r="M62">
        <v>9</v>
      </c>
    </row>
    <row r="63" spans="1:13" x14ac:dyDescent="0.35">
      <c r="A63">
        <v>61</v>
      </c>
      <c r="B63">
        <v>9</v>
      </c>
      <c r="C63">
        <v>3</v>
      </c>
      <c r="D63">
        <v>5</v>
      </c>
      <c r="F63">
        <v>61</v>
      </c>
      <c r="G63">
        <v>19</v>
      </c>
      <c r="H63">
        <v>10</v>
      </c>
      <c r="I63">
        <v>5</v>
      </c>
      <c r="K63">
        <v>61</v>
      </c>
      <c r="L63">
        <v>12</v>
      </c>
      <c r="M63">
        <v>14</v>
      </c>
    </row>
    <row r="64" spans="1:13" x14ac:dyDescent="0.35">
      <c r="A64">
        <v>62</v>
      </c>
      <c r="B64">
        <v>12</v>
      </c>
      <c r="C64">
        <v>10</v>
      </c>
      <c r="D64">
        <v>6</v>
      </c>
      <c r="F64">
        <v>62</v>
      </c>
      <c r="G64">
        <v>21</v>
      </c>
      <c r="H64">
        <v>7</v>
      </c>
      <c r="I64">
        <v>9</v>
      </c>
      <c r="K64">
        <v>62</v>
      </c>
      <c r="L64">
        <v>14</v>
      </c>
      <c r="M64">
        <v>5</v>
      </c>
    </row>
    <row r="65" spans="1:13" x14ac:dyDescent="0.35">
      <c r="A65">
        <v>63</v>
      </c>
      <c r="B65">
        <v>9</v>
      </c>
      <c r="C65">
        <v>11</v>
      </c>
      <c r="D65">
        <v>0</v>
      </c>
      <c r="F65">
        <v>63</v>
      </c>
      <c r="G65">
        <v>29</v>
      </c>
      <c r="H65">
        <v>9</v>
      </c>
      <c r="I65">
        <v>13</v>
      </c>
      <c r="K65">
        <v>63</v>
      </c>
      <c r="L65">
        <v>17</v>
      </c>
      <c r="M65">
        <v>14</v>
      </c>
    </row>
    <row r="66" spans="1:13" x14ac:dyDescent="0.35">
      <c r="A66">
        <v>64</v>
      </c>
      <c r="B66">
        <v>13</v>
      </c>
      <c r="C66">
        <v>3</v>
      </c>
      <c r="D66">
        <v>6</v>
      </c>
      <c r="F66">
        <v>64</v>
      </c>
      <c r="G66">
        <v>20</v>
      </c>
      <c r="H66">
        <v>8</v>
      </c>
      <c r="I66">
        <v>5</v>
      </c>
      <c r="K66">
        <v>64</v>
      </c>
      <c r="L66">
        <v>14</v>
      </c>
      <c r="M66">
        <v>14</v>
      </c>
    </row>
    <row r="67" spans="1:13" x14ac:dyDescent="0.35">
      <c r="A67">
        <v>65</v>
      </c>
      <c r="B67">
        <v>13</v>
      </c>
      <c r="C67">
        <v>9</v>
      </c>
      <c r="D67">
        <v>1</v>
      </c>
      <c r="F67">
        <v>65</v>
      </c>
      <c r="G67">
        <v>18</v>
      </c>
      <c r="H67">
        <v>8</v>
      </c>
      <c r="I67">
        <v>10</v>
      </c>
      <c r="K67">
        <v>65</v>
      </c>
      <c r="L67">
        <v>14</v>
      </c>
      <c r="M67">
        <v>14</v>
      </c>
    </row>
    <row r="68" spans="1:13" x14ac:dyDescent="0.35">
      <c r="A68">
        <v>66</v>
      </c>
      <c r="B68">
        <v>11</v>
      </c>
      <c r="C68">
        <v>4</v>
      </c>
      <c r="D68">
        <v>6</v>
      </c>
      <c r="F68">
        <v>66</v>
      </c>
      <c r="G68">
        <v>26</v>
      </c>
      <c r="H68">
        <v>11</v>
      </c>
      <c r="I68">
        <v>9</v>
      </c>
      <c r="K68">
        <v>66</v>
      </c>
      <c r="L68">
        <v>18</v>
      </c>
      <c r="M68">
        <v>10</v>
      </c>
    </row>
    <row r="69" spans="1:13" x14ac:dyDescent="0.35">
      <c r="A69">
        <v>67</v>
      </c>
      <c r="B69">
        <v>13</v>
      </c>
      <c r="C69">
        <v>3</v>
      </c>
      <c r="D69">
        <v>5</v>
      </c>
      <c r="F69">
        <v>67</v>
      </c>
      <c r="G69">
        <v>20</v>
      </c>
      <c r="H69">
        <v>9</v>
      </c>
      <c r="I69">
        <v>8</v>
      </c>
      <c r="K69">
        <v>67</v>
      </c>
      <c r="L69">
        <v>14</v>
      </c>
      <c r="M69">
        <v>3</v>
      </c>
    </row>
    <row r="70" spans="1:13" x14ac:dyDescent="0.35">
      <c r="A70">
        <v>68</v>
      </c>
      <c r="B70">
        <v>11</v>
      </c>
      <c r="C70">
        <v>5</v>
      </c>
      <c r="D70">
        <v>4</v>
      </c>
      <c r="F70">
        <v>68</v>
      </c>
      <c r="G70">
        <v>18</v>
      </c>
      <c r="H70">
        <v>7</v>
      </c>
      <c r="I70">
        <v>7</v>
      </c>
      <c r="K70">
        <v>68</v>
      </c>
      <c r="L70">
        <v>16</v>
      </c>
      <c r="M70">
        <v>9</v>
      </c>
    </row>
    <row r="71" spans="1:13" x14ac:dyDescent="0.35">
      <c r="A71">
        <v>69</v>
      </c>
      <c r="B71">
        <v>7</v>
      </c>
      <c r="C71">
        <v>11</v>
      </c>
      <c r="D71">
        <v>3</v>
      </c>
      <c r="F71">
        <v>69</v>
      </c>
      <c r="G71">
        <v>15</v>
      </c>
      <c r="H71">
        <v>10</v>
      </c>
      <c r="I71">
        <v>10</v>
      </c>
      <c r="K71">
        <v>69</v>
      </c>
      <c r="L71">
        <v>15</v>
      </c>
      <c r="M71">
        <v>1</v>
      </c>
    </row>
    <row r="72" spans="1:13" x14ac:dyDescent="0.35">
      <c r="A72">
        <v>70</v>
      </c>
      <c r="B72">
        <v>10</v>
      </c>
      <c r="C72">
        <v>4</v>
      </c>
      <c r="D72">
        <v>6</v>
      </c>
      <c r="F72">
        <v>70</v>
      </c>
      <c r="G72">
        <v>16</v>
      </c>
      <c r="H72">
        <v>9</v>
      </c>
      <c r="I72">
        <v>14</v>
      </c>
      <c r="K72">
        <v>70</v>
      </c>
      <c r="L72">
        <v>14</v>
      </c>
      <c r="M72">
        <v>4</v>
      </c>
    </row>
    <row r="73" spans="1:13" x14ac:dyDescent="0.35">
      <c r="A73">
        <v>71</v>
      </c>
      <c r="B73">
        <v>8</v>
      </c>
      <c r="C73">
        <v>4</v>
      </c>
      <c r="D73">
        <v>4</v>
      </c>
      <c r="F73">
        <v>71</v>
      </c>
      <c r="G73">
        <v>15</v>
      </c>
      <c r="H73">
        <v>10</v>
      </c>
      <c r="I73">
        <v>9</v>
      </c>
      <c r="K73">
        <v>71</v>
      </c>
      <c r="L73">
        <v>10</v>
      </c>
      <c r="M73">
        <v>9</v>
      </c>
    </row>
    <row r="74" spans="1:13" x14ac:dyDescent="0.35">
      <c r="A74">
        <v>72</v>
      </c>
      <c r="B74">
        <v>7</v>
      </c>
      <c r="C74">
        <v>6</v>
      </c>
      <c r="D74">
        <v>6</v>
      </c>
      <c r="F74">
        <v>72</v>
      </c>
      <c r="G74">
        <v>19</v>
      </c>
      <c r="H74">
        <v>10</v>
      </c>
      <c r="I74">
        <v>10</v>
      </c>
      <c r="K74">
        <v>72</v>
      </c>
      <c r="L74">
        <v>12</v>
      </c>
      <c r="M74">
        <v>11</v>
      </c>
    </row>
    <row r="75" spans="1:13" x14ac:dyDescent="0.35">
      <c r="A75">
        <v>73</v>
      </c>
      <c r="B75">
        <v>8</v>
      </c>
      <c r="C75">
        <v>0</v>
      </c>
      <c r="D75">
        <v>4</v>
      </c>
      <c r="F75">
        <v>73</v>
      </c>
      <c r="G75">
        <v>16</v>
      </c>
      <c r="H75">
        <v>10</v>
      </c>
      <c r="I75">
        <v>5</v>
      </c>
      <c r="K75">
        <v>73</v>
      </c>
      <c r="L75">
        <v>14</v>
      </c>
      <c r="M75">
        <v>9</v>
      </c>
    </row>
    <row r="76" spans="1:13" x14ac:dyDescent="0.35">
      <c r="A76">
        <v>74</v>
      </c>
      <c r="B76">
        <v>8</v>
      </c>
      <c r="C76">
        <v>3</v>
      </c>
      <c r="D76">
        <v>5</v>
      </c>
      <c r="F76">
        <v>74</v>
      </c>
      <c r="G76">
        <v>11</v>
      </c>
      <c r="H76">
        <v>11</v>
      </c>
      <c r="I76">
        <v>7</v>
      </c>
      <c r="K76">
        <v>74</v>
      </c>
      <c r="L76">
        <v>12</v>
      </c>
      <c r="M76">
        <v>3</v>
      </c>
    </row>
    <row r="77" spans="1:13" x14ac:dyDescent="0.35">
      <c r="A77">
        <v>75</v>
      </c>
      <c r="B77">
        <v>10</v>
      </c>
      <c r="C77">
        <v>10</v>
      </c>
      <c r="D77">
        <v>3</v>
      </c>
      <c r="F77">
        <v>75</v>
      </c>
      <c r="G77">
        <v>25</v>
      </c>
      <c r="H77">
        <v>9</v>
      </c>
      <c r="I77">
        <v>9</v>
      </c>
      <c r="K77">
        <v>75</v>
      </c>
      <c r="L77">
        <v>13</v>
      </c>
      <c r="M77">
        <v>4</v>
      </c>
    </row>
    <row r="78" spans="1:13" x14ac:dyDescent="0.35">
      <c r="A78">
        <v>76</v>
      </c>
      <c r="B78">
        <v>9</v>
      </c>
      <c r="C78">
        <v>10</v>
      </c>
      <c r="D78">
        <v>4</v>
      </c>
      <c r="F78">
        <v>76</v>
      </c>
      <c r="G78">
        <v>20</v>
      </c>
      <c r="H78">
        <v>8</v>
      </c>
      <c r="I78">
        <v>6</v>
      </c>
      <c r="K78">
        <v>76</v>
      </c>
      <c r="L78">
        <v>20</v>
      </c>
      <c r="M78">
        <v>11</v>
      </c>
    </row>
    <row r="79" spans="1:13" x14ac:dyDescent="0.35">
      <c r="A79">
        <v>77</v>
      </c>
      <c r="B79">
        <v>10</v>
      </c>
      <c r="C79">
        <v>7</v>
      </c>
      <c r="D79">
        <v>4</v>
      </c>
      <c r="F79">
        <v>77</v>
      </c>
      <c r="G79">
        <v>26</v>
      </c>
      <c r="H79">
        <v>7</v>
      </c>
      <c r="I79">
        <v>4</v>
      </c>
      <c r="K79">
        <v>77</v>
      </c>
      <c r="L79">
        <v>16</v>
      </c>
      <c r="M79">
        <v>7</v>
      </c>
    </row>
    <row r="80" spans="1:13" x14ac:dyDescent="0.35">
      <c r="A80">
        <v>78</v>
      </c>
      <c r="B80">
        <v>13</v>
      </c>
      <c r="C80">
        <v>5</v>
      </c>
      <c r="D80">
        <v>4</v>
      </c>
      <c r="F80">
        <v>78</v>
      </c>
      <c r="G80">
        <v>23</v>
      </c>
      <c r="H80">
        <v>12</v>
      </c>
      <c r="I80">
        <v>6</v>
      </c>
      <c r="K80">
        <v>78</v>
      </c>
      <c r="L80">
        <v>15</v>
      </c>
      <c r="M80">
        <v>9</v>
      </c>
    </row>
    <row r="81" spans="1:13" x14ac:dyDescent="0.35">
      <c r="A81">
        <v>79</v>
      </c>
      <c r="B81">
        <v>14</v>
      </c>
      <c r="C81">
        <v>5</v>
      </c>
      <c r="D81">
        <v>3</v>
      </c>
      <c r="F81">
        <v>79</v>
      </c>
      <c r="G81">
        <v>17</v>
      </c>
      <c r="H81">
        <v>10</v>
      </c>
      <c r="I81">
        <v>7</v>
      </c>
      <c r="K81">
        <v>79</v>
      </c>
      <c r="L81">
        <v>18</v>
      </c>
      <c r="M81">
        <v>9</v>
      </c>
    </row>
    <row r="82" spans="1:13" x14ac:dyDescent="0.35">
      <c r="A82">
        <v>80</v>
      </c>
      <c r="B82">
        <v>12</v>
      </c>
      <c r="C82">
        <v>5</v>
      </c>
      <c r="D82">
        <v>3</v>
      </c>
      <c r="F82">
        <v>80</v>
      </c>
      <c r="G82">
        <v>19</v>
      </c>
      <c r="H82">
        <v>6</v>
      </c>
      <c r="I82">
        <v>13</v>
      </c>
      <c r="K82">
        <v>80</v>
      </c>
      <c r="L82">
        <v>17</v>
      </c>
      <c r="M82">
        <v>11</v>
      </c>
    </row>
    <row r="83" spans="1:13" x14ac:dyDescent="0.35">
      <c r="A83">
        <v>81</v>
      </c>
      <c r="B83">
        <v>12</v>
      </c>
      <c r="C83">
        <v>3</v>
      </c>
      <c r="D83">
        <v>7</v>
      </c>
      <c r="F83">
        <v>81</v>
      </c>
      <c r="G83">
        <v>6</v>
      </c>
      <c r="H83">
        <v>11</v>
      </c>
      <c r="I83">
        <v>6</v>
      </c>
      <c r="K83">
        <v>81</v>
      </c>
      <c r="L83">
        <v>13</v>
      </c>
      <c r="M83">
        <v>10</v>
      </c>
    </row>
    <row r="84" spans="1:13" x14ac:dyDescent="0.35">
      <c r="A84">
        <v>82</v>
      </c>
      <c r="B84">
        <v>13</v>
      </c>
      <c r="C84">
        <v>3</v>
      </c>
      <c r="D84">
        <v>2</v>
      </c>
      <c r="F84">
        <v>82</v>
      </c>
      <c r="G84">
        <v>13</v>
      </c>
      <c r="H84">
        <v>11</v>
      </c>
      <c r="I84">
        <v>6</v>
      </c>
      <c r="K84">
        <v>82</v>
      </c>
      <c r="L84">
        <v>12</v>
      </c>
      <c r="M84">
        <v>13</v>
      </c>
    </row>
    <row r="85" spans="1:13" x14ac:dyDescent="0.35">
      <c r="A85">
        <v>83</v>
      </c>
      <c r="B85">
        <v>8</v>
      </c>
      <c r="C85">
        <v>12</v>
      </c>
      <c r="D85">
        <v>5</v>
      </c>
      <c r="F85">
        <v>83</v>
      </c>
      <c r="G85">
        <v>13</v>
      </c>
      <c r="H85">
        <v>10</v>
      </c>
      <c r="I85">
        <v>3</v>
      </c>
      <c r="K85">
        <v>83</v>
      </c>
      <c r="L85">
        <v>17</v>
      </c>
      <c r="M85">
        <v>10</v>
      </c>
    </row>
    <row r="86" spans="1:13" x14ac:dyDescent="0.35">
      <c r="A86">
        <v>84</v>
      </c>
      <c r="B86">
        <v>8</v>
      </c>
      <c r="C86">
        <v>4</v>
      </c>
      <c r="D86">
        <v>6</v>
      </c>
      <c r="F86">
        <v>84</v>
      </c>
      <c r="G86">
        <v>14</v>
      </c>
      <c r="H86">
        <v>11</v>
      </c>
      <c r="I86">
        <v>10</v>
      </c>
      <c r="K86">
        <v>84</v>
      </c>
      <c r="L86">
        <v>11</v>
      </c>
      <c r="M86">
        <v>8</v>
      </c>
    </row>
    <row r="87" spans="1:13" x14ac:dyDescent="0.35">
      <c r="A87">
        <v>85</v>
      </c>
      <c r="B87">
        <v>6</v>
      </c>
      <c r="C87">
        <v>6</v>
      </c>
      <c r="D87">
        <v>2</v>
      </c>
      <c r="F87">
        <v>85</v>
      </c>
      <c r="G87">
        <v>21</v>
      </c>
      <c r="H87">
        <v>10</v>
      </c>
      <c r="I87">
        <v>17</v>
      </c>
      <c r="K87">
        <v>85</v>
      </c>
      <c r="L87">
        <v>11</v>
      </c>
      <c r="M87">
        <v>6</v>
      </c>
    </row>
    <row r="88" spans="1:13" x14ac:dyDescent="0.35">
      <c r="A88">
        <v>86</v>
      </c>
      <c r="B88">
        <v>9</v>
      </c>
      <c r="C88">
        <v>9</v>
      </c>
      <c r="D88">
        <v>3</v>
      </c>
      <c r="F88">
        <v>86</v>
      </c>
      <c r="G88">
        <v>13</v>
      </c>
      <c r="H88">
        <v>8</v>
      </c>
      <c r="I88">
        <v>6</v>
      </c>
      <c r="K88">
        <v>86</v>
      </c>
      <c r="L88">
        <v>11</v>
      </c>
      <c r="M88">
        <v>7</v>
      </c>
    </row>
    <row r="89" spans="1:13" x14ac:dyDescent="0.35">
      <c r="A89">
        <v>87</v>
      </c>
      <c r="B89">
        <v>10</v>
      </c>
      <c r="C89">
        <v>5</v>
      </c>
      <c r="D89">
        <v>6</v>
      </c>
      <c r="F89">
        <v>87</v>
      </c>
      <c r="G89">
        <v>24</v>
      </c>
      <c r="H89">
        <v>7</v>
      </c>
      <c r="I89">
        <v>6</v>
      </c>
      <c r="K89">
        <v>87</v>
      </c>
      <c r="L89">
        <v>15</v>
      </c>
      <c r="M89">
        <v>11</v>
      </c>
    </row>
    <row r="90" spans="1:13" x14ac:dyDescent="0.35">
      <c r="A90">
        <v>88</v>
      </c>
      <c r="B90">
        <v>12</v>
      </c>
      <c r="C90">
        <v>9</v>
      </c>
      <c r="D90">
        <v>1</v>
      </c>
      <c r="F90">
        <v>88</v>
      </c>
      <c r="G90">
        <v>22</v>
      </c>
      <c r="H90">
        <v>9</v>
      </c>
      <c r="I90">
        <v>1</v>
      </c>
      <c r="K90">
        <v>88</v>
      </c>
      <c r="L90">
        <v>18</v>
      </c>
      <c r="M90">
        <v>12</v>
      </c>
    </row>
    <row r="91" spans="1:13" x14ac:dyDescent="0.35">
      <c r="A91">
        <v>89</v>
      </c>
      <c r="B91">
        <v>12</v>
      </c>
      <c r="C91">
        <v>8</v>
      </c>
      <c r="D91">
        <v>7</v>
      </c>
      <c r="F91">
        <v>89</v>
      </c>
      <c r="G91">
        <v>15</v>
      </c>
      <c r="H91">
        <v>12</v>
      </c>
      <c r="I91">
        <v>11</v>
      </c>
      <c r="K91">
        <v>89</v>
      </c>
      <c r="L91">
        <v>16</v>
      </c>
      <c r="M91">
        <v>15</v>
      </c>
    </row>
    <row r="92" spans="1:13" x14ac:dyDescent="0.35">
      <c r="A92">
        <v>90</v>
      </c>
      <c r="B92">
        <v>15</v>
      </c>
      <c r="C92">
        <v>11</v>
      </c>
      <c r="D92">
        <v>3</v>
      </c>
      <c r="F92">
        <v>90</v>
      </c>
      <c r="G92">
        <v>22</v>
      </c>
      <c r="H92">
        <v>8</v>
      </c>
      <c r="I92">
        <v>7</v>
      </c>
      <c r="K92">
        <v>90</v>
      </c>
      <c r="L92">
        <v>13</v>
      </c>
      <c r="M92">
        <v>11</v>
      </c>
    </row>
    <row r="93" spans="1:13" x14ac:dyDescent="0.35">
      <c r="A93">
        <v>91</v>
      </c>
      <c r="B93">
        <v>17</v>
      </c>
      <c r="C93">
        <v>7</v>
      </c>
      <c r="D93">
        <v>6</v>
      </c>
      <c r="F93">
        <v>91</v>
      </c>
      <c r="G93">
        <v>22</v>
      </c>
      <c r="H93">
        <v>9</v>
      </c>
      <c r="I93">
        <v>12</v>
      </c>
      <c r="K93">
        <v>91</v>
      </c>
      <c r="L93">
        <v>16</v>
      </c>
      <c r="M93">
        <v>15</v>
      </c>
    </row>
    <row r="94" spans="1:13" x14ac:dyDescent="0.35">
      <c r="A94">
        <v>92</v>
      </c>
      <c r="B94">
        <v>13</v>
      </c>
      <c r="C94">
        <v>10</v>
      </c>
      <c r="D94">
        <v>3</v>
      </c>
      <c r="F94">
        <v>92</v>
      </c>
      <c r="G94">
        <v>24</v>
      </c>
      <c r="H94">
        <v>9</v>
      </c>
      <c r="I94">
        <v>9</v>
      </c>
      <c r="K94">
        <v>92</v>
      </c>
      <c r="L94">
        <v>17</v>
      </c>
      <c r="M94">
        <v>10</v>
      </c>
    </row>
    <row r="95" spans="1:13" x14ac:dyDescent="0.35">
      <c r="A95">
        <v>93</v>
      </c>
      <c r="B95">
        <v>12</v>
      </c>
      <c r="C95">
        <v>6</v>
      </c>
      <c r="D95">
        <v>3</v>
      </c>
      <c r="F95">
        <v>93</v>
      </c>
      <c r="G95">
        <v>22</v>
      </c>
      <c r="H95">
        <v>9</v>
      </c>
      <c r="I95">
        <v>6</v>
      </c>
      <c r="K95">
        <v>93</v>
      </c>
      <c r="L95">
        <v>17</v>
      </c>
      <c r="M95">
        <v>3</v>
      </c>
    </row>
    <row r="96" spans="1:13" x14ac:dyDescent="0.35">
      <c r="A96">
        <v>94</v>
      </c>
      <c r="B96">
        <v>11</v>
      </c>
      <c r="C96">
        <v>4</v>
      </c>
      <c r="D96">
        <v>7</v>
      </c>
      <c r="F96">
        <v>94</v>
      </c>
      <c r="G96">
        <v>21</v>
      </c>
      <c r="H96">
        <v>9</v>
      </c>
      <c r="I96">
        <v>10</v>
      </c>
      <c r="K96">
        <v>94</v>
      </c>
      <c r="L96">
        <v>16</v>
      </c>
      <c r="M96">
        <v>5</v>
      </c>
    </row>
    <row r="97" spans="1:13" x14ac:dyDescent="0.35">
      <c r="A97">
        <v>95</v>
      </c>
      <c r="B97">
        <v>11</v>
      </c>
      <c r="C97">
        <v>17</v>
      </c>
      <c r="D97">
        <v>6</v>
      </c>
      <c r="F97">
        <v>95</v>
      </c>
      <c r="G97">
        <v>16</v>
      </c>
      <c r="H97">
        <v>7</v>
      </c>
      <c r="I97">
        <v>5</v>
      </c>
      <c r="K97">
        <v>95</v>
      </c>
      <c r="L97">
        <v>12</v>
      </c>
      <c r="M97">
        <v>6</v>
      </c>
    </row>
    <row r="98" spans="1:13" x14ac:dyDescent="0.35">
      <c r="A98">
        <v>96</v>
      </c>
      <c r="B98">
        <v>8</v>
      </c>
      <c r="C98">
        <v>0</v>
      </c>
      <c r="D98">
        <v>3</v>
      </c>
      <c r="F98">
        <v>96</v>
      </c>
      <c r="G98">
        <v>15</v>
      </c>
      <c r="H98">
        <v>13</v>
      </c>
      <c r="I98">
        <v>12</v>
      </c>
      <c r="K98">
        <v>96</v>
      </c>
      <c r="L98">
        <v>12</v>
      </c>
      <c r="M98">
        <v>10</v>
      </c>
    </row>
    <row r="99" spans="1:13" x14ac:dyDescent="0.35">
      <c r="A99">
        <v>97</v>
      </c>
      <c r="B99">
        <v>10</v>
      </c>
      <c r="C99">
        <v>4</v>
      </c>
      <c r="D99">
        <v>3</v>
      </c>
      <c r="F99">
        <v>97</v>
      </c>
      <c r="G99">
        <v>17</v>
      </c>
      <c r="H99">
        <v>10</v>
      </c>
      <c r="I99">
        <v>9</v>
      </c>
      <c r="K99">
        <v>97</v>
      </c>
      <c r="L99">
        <v>11</v>
      </c>
      <c r="M99">
        <v>13</v>
      </c>
    </row>
    <row r="100" spans="1:13" x14ac:dyDescent="0.35">
      <c r="A100">
        <v>98</v>
      </c>
      <c r="B100">
        <v>6</v>
      </c>
      <c r="C100">
        <v>10</v>
      </c>
      <c r="D100">
        <v>5</v>
      </c>
      <c r="F100">
        <v>98</v>
      </c>
      <c r="G100">
        <v>16</v>
      </c>
      <c r="H100">
        <v>8</v>
      </c>
      <c r="I100">
        <v>15</v>
      </c>
      <c r="K100">
        <v>98</v>
      </c>
      <c r="L100">
        <v>11</v>
      </c>
      <c r="M100">
        <v>12</v>
      </c>
    </row>
    <row r="101" spans="1:13" x14ac:dyDescent="0.35">
      <c r="A101">
        <v>99</v>
      </c>
      <c r="B101">
        <v>11</v>
      </c>
      <c r="C101">
        <v>9</v>
      </c>
      <c r="D101">
        <v>4</v>
      </c>
      <c r="F101">
        <v>99</v>
      </c>
      <c r="G101">
        <v>20</v>
      </c>
      <c r="H101">
        <v>11</v>
      </c>
      <c r="I101">
        <v>5</v>
      </c>
      <c r="K101">
        <v>99</v>
      </c>
      <c r="L101">
        <v>17</v>
      </c>
      <c r="M101">
        <v>11</v>
      </c>
    </row>
    <row r="102" spans="1:13" x14ac:dyDescent="0.35">
      <c r="A102">
        <v>100</v>
      </c>
      <c r="B102">
        <v>13</v>
      </c>
      <c r="C102">
        <v>9</v>
      </c>
      <c r="D102">
        <v>4</v>
      </c>
      <c r="F102">
        <v>100</v>
      </c>
      <c r="G102">
        <v>21</v>
      </c>
      <c r="H102">
        <v>9</v>
      </c>
      <c r="I102">
        <v>12</v>
      </c>
      <c r="K102">
        <v>100</v>
      </c>
      <c r="L102">
        <v>12</v>
      </c>
      <c r="M102">
        <v>7</v>
      </c>
    </row>
    <row r="103" spans="1:13" x14ac:dyDescent="0.35">
      <c r="A103">
        <v>101</v>
      </c>
      <c r="B103">
        <v>12</v>
      </c>
      <c r="C103">
        <v>7</v>
      </c>
      <c r="D103">
        <v>1</v>
      </c>
      <c r="F103">
        <v>101</v>
      </c>
      <c r="G103">
        <v>28</v>
      </c>
      <c r="H103">
        <v>11</v>
      </c>
      <c r="I103">
        <v>11</v>
      </c>
      <c r="K103">
        <v>101</v>
      </c>
      <c r="L103">
        <v>14</v>
      </c>
      <c r="M103">
        <v>8</v>
      </c>
    </row>
    <row r="104" spans="1:13" x14ac:dyDescent="0.35">
      <c r="A104">
        <v>102</v>
      </c>
      <c r="B104">
        <v>13</v>
      </c>
      <c r="C104">
        <v>7</v>
      </c>
      <c r="D104">
        <v>5</v>
      </c>
      <c r="F104">
        <v>102</v>
      </c>
      <c r="G104">
        <v>29</v>
      </c>
      <c r="H104">
        <v>13</v>
      </c>
      <c r="I104">
        <v>6</v>
      </c>
      <c r="K104">
        <v>102</v>
      </c>
      <c r="L104">
        <v>17</v>
      </c>
      <c r="M104">
        <v>14</v>
      </c>
    </row>
    <row r="105" spans="1:13" x14ac:dyDescent="0.35">
      <c r="A105">
        <v>103</v>
      </c>
      <c r="B105">
        <v>14</v>
      </c>
      <c r="C105">
        <v>11</v>
      </c>
      <c r="D105">
        <v>3</v>
      </c>
      <c r="F105">
        <v>103</v>
      </c>
      <c r="G105">
        <v>24</v>
      </c>
      <c r="H105">
        <v>11</v>
      </c>
      <c r="I105">
        <v>11</v>
      </c>
      <c r="K105">
        <v>103</v>
      </c>
      <c r="L105">
        <v>16</v>
      </c>
      <c r="M105">
        <v>12</v>
      </c>
    </row>
    <row r="106" spans="1:13" x14ac:dyDescent="0.35">
      <c r="A106">
        <v>104</v>
      </c>
      <c r="B106">
        <v>14</v>
      </c>
      <c r="C106">
        <v>6</v>
      </c>
      <c r="D106">
        <v>3</v>
      </c>
      <c r="F106">
        <v>104</v>
      </c>
      <c r="G106">
        <v>23</v>
      </c>
      <c r="H106">
        <v>7</v>
      </c>
      <c r="I106">
        <v>8</v>
      </c>
      <c r="K106">
        <v>104</v>
      </c>
      <c r="L106">
        <v>18</v>
      </c>
      <c r="M106">
        <v>4</v>
      </c>
    </row>
    <row r="107" spans="1:13" x14ac:dyDescent="0.35">
      <c r="A107">
        <v>105</v>
      </c>
      <c r="B107">
        <v>12</v>
      </c>
      <c r="C107">
        <v>8</v>
      </c>
      <c r="D107">
        <v>2</v>
      </c>
      <c r="F107">
        <v>105</v>
      </c>
      <c r="G107">
        <v>21</v>
      </c>
      <c r="H107">
        <v>11</v>
      </c>
      <c r="I107">
        <v>13</v>
      </c>
      <c r="K107">
        <v>105</v>
      </c>
      <c r="L107">
        <v>17</v>
      </c>
      <c r="M107">
        <v>11</v>
      </c>
    </row>
    <row r="108" spans="1:13" x14ac:dyDescent="0.35">
      <c r="A108">
        <v>106</v>
      </c>
      <c r="B108">
        <v>14</v>
      </c>
      <c r="C108">
        <v>10</v>
      </c>
      <c r="D108">
        <v>4</v>
      </c>
      <c r="F108">
        <v>106</v>
      </c>
      <c r="G108">
        <v>25</v>
      </c>
      <c r="H108">
        <v>10</v>
      </c>
      <c r="I108">
        <v>16</v>
      </c>
      <c r="K108">
        <v>106</v>
      </c>
      <c r="L108">
        <v>17</v>
      </c>
      <c r="M108">
        <v>7</v>
      </c>
    </row>
    <row r="109" spans="1:13" x14ac:dyDescent="0.35">
      <c r="A109">
        <v>107</v>
      </c>
      <c r="B109">
        <v>11</v>
      </c>
      <c r="C109">
        <v>13</v>
      </c>
      <c r="D109">
        <v>4</v>
      </c>
      <c r="F109">
        <v>107</v>
      </c>
      <c r="G109">
        <v>18</v>
      </c>
      <c r="H109">
        <v>10</v>
      </c>
      <c r="I109">
        <v>10</v>
      </c>
      <c r="K109">
        <v>107</v>
      </c>
      <c r="L109">
        <v>12</v>
      </c>
      <c r="M109">
        <v>17</v>
      </c>
    </row>
    <row r="110" spans="1:13" x14ac:dyDescent="0.35">
      <c r="A110">
        <v>108</v>
      </c>
      <c r="B110">
        <v>12</v>
      </c>
      <c r="C110">
        <v>2</v>
      </c>
      <c r="D110">
        <v>2</v>
      </c>
      <c r="F110">
        <v>108</v>
      </c>
      <c r="G110">
        <v>18</v>
      </c>
      <c r="H110">
        <v>11</v>
      </c>
      <c r="I110">
        <v>11</v>
      </c>
      <c r="K110">
        <v>108</v>
      </c>
      <c r="L110">
        <v>16</v>
      </c>
      <c r="M110">
        <v>2</v>
      </c>
    </row>
    <row r="111" spans="1:13" x14ac:dyDescent="0.35">
      <c r="A111">
        <v>109</v>
      </c>
      <c r="B111">
        <v>8</v>
      </c>
      <c r="C111">
        <v>5</v>
      </c>
      <c r="D111">
        <v>1</v>
      </c>
      <c r="F111">
        <v>109</v>
      </c>
      <c r="G111">
        <v>17</v>
      </c>
      <c r="H111">
        <v>7</v>
      </c>
      <c r="I111">
        <v>4</v>
      </c>
      <c r="K111">
        <v>109</v>
      </c>
      <c r="L111">
        <v>14</v>
      </c>
      <c r="M111">
        <v>12</v>
      </c>
    </row>
    <row r="112" spans="1:13" x14ac:dyDescent="0.35">
      <c r="A112">
        <v>110</v>
      </c>
      <c r="B112">
        <v>10</v>
      </c>
      <c r="C112">
        <v>0</v>
      </c>
      <c r="D112">
        <v>1</v>
      </c>
      <c r="F112">
        <v>110</v>
      </c>
      <c r="G112">
        <v>14</v>
      </c>
      <c r="H112">
        <v>10</v>
      </c>
      <c r="I112">
        <v>5</v>
      </c>
      <c r="K112">
        <v>110</v>
      </c>
      <c r="L112">
        <v>16</v>
      </c>
      <c r="M112">
        <v>13</v>
      </c>
    </row>
    <row r="113" spans="1:13" x14ac:dyDescent="0.35">
      <c r="A113">
        <v>111</v>
      </c>
      <c r="B113">
        <v>8</v>
      </c>
      <c r="C113">
        <v>7</v>
      </c>
      <c r="D113">
        <v>3</v>
      </c>
      <c r="F113">
        <v>111</v>
      </c>
      <c r="G113">
        <v>20</v>
      </c>
      <c r="H113">
        <v>7</v>
      </c>
      <c r="I113">
        <v>12</v>
      </c>
      <c r="K113">
        <v>111</v>
      </c>
      <c r="L113">
        <v>13</v>
      </c>
      <c r="M113">
        <v>10</v>
      </c>
    </row>
    <row r="114" spans="1:13" x14ac:dyDescent="0.35">
      <c r="A114">
        <v>112</v>
      </c>
      <c r="B114">
        <v>9</v>
      </c>
      <c r="C114">
        <v>4</v>
      </c>
      <c r="D114">
        <v>2</v>
      </c>
      <c r="F114">
        <v>112</v>
      </c>
      <c r="G114">
        <v>22</v>
      </c>
      <c r="H114">
        <v>8</v>
      </c>
      <c r="I114">
        <v>10</v>
      </c>
      <c r="K114">
        <v>112</v>
      </c>
      <c r="L114">
        <v>15</v>
      </c>
      <c r="M114">
        <v>6</v>
      </c>
    </row>
    <row r="115" spans="1:13" x14ac:dyDescent="0.35">
      <c r="A115">
        <v>113</v>
      </c>
      <c r="B115">
        <v>10</v>
      </c>
      <c r="C115">
        <v>2</v>
      </c>
      <c r="D115">
        <v>7</v>
      </c>
      <c r="F115">
        <v>113</v>
      </c>
      <c r="G115">
        <v>17</v>
      </c>
      <c r="H115">
        <v>8</v>
      </c>
      <c r="I115">
        <v>7</v>
      </c>
      <c r="K115">
        <v>113</v>
      </c>
      <c r="L115">
        <v>16</v>
      </c>
      <c r="M115">
        <v>11</v>
      </c>
    </row>
    <row r="116" spans="1:13" x14ac:dyDescent="0.35">
      <c r="A116">
        <v>114</v>
      </c>
      <c r="B116">
        <v>13</v>
      </c>
      <c r="C116">
        <v>7</v>
      </c>
      <c r="D116">
        <v>3</v>
      </c>
      <c r="F116">
        <v>114</v>
      </c>
      <c r="G116">
        <v>15</v>
      </c>
      <c r="H116">
        <v>10</v>
      </c>
      <c r="I116">
        <v>8</v>
      </c>
      <c r="K116">
        <v>114</v>
      </c>
      <c r="L116">
        <v>15</v>
      </c>
      <c r="M116">
        <v>14</v>
      </c>
    </row>
    <row r="117" spans="1:13" x14ac:dyDescent="0.35">
      <c r="A117">
        <v>115</v>
      </c>
      <c r="B117">
        <v>15</v>
      </c>
      <c r="C117">
        <v>9</v>
      </c>
      <c r="D117">
        <v>6</v>
      </c>
      <c r="F117">
        <v>115</v>
      </c>
      <c r="G117">
        <v>19</v>
      </c>
      <c r="H117">
        <v>12</v>
      </c>
      <c r="I117">
        <v>5</v>
      </c>
      <c r="K117">
        <v>115</v>
      </c>
      <c r="L117">
        <v>19</v>
      </c>
      <c r="M117">
        <v>9</v>
      </c>
    </row>
    <row r="118" spans="1:13" x14ac:dyDescent="0.35">
      <c r="A118">
        <v>116</v>
      </c>
      <c r="B118">
        <v>14</v>
      </c>
      <c r="C118">
        <v>9</v>
      </c>
      <c r="D118">
        <v>3</v>
      </c>
      <c r="F118">
        <v>116</v>
      </c>
      <c r="G118">
        <v>26</v>
      </c>
      <c r="H118">
        <v>11</v>
      </c>
      <c r="I118">
        <v>6</v>
      </c>
      <c r="K118">
        <v>116</v>
      </c>
      <c r="L118">
        <v>14</v>
      </c>
      <c r="M118">
        <v>13</v>
      </c>
    </row>
    <row r="119" spans="1:13" x14ac:dyDescent="0.35">
      <c r="A119">
        <v>117</v>
      </c>
      <c r="B119">
        <v>14</v>
      </c>
      <c r="C119">
        <v>5</v>
      </c>
      <c r="D119">
        <v>2</v>
      </c>
      <c r="F119">
        <v>117</v>
      </c>
      <c r="G119">
        <v>21</v>
      </c>
      <c r="H119">
        <v>13</v>
      </c>
      <c r="I119">
        <v>5</v>
      </c>
      <c r="K119">
        <v>117</v>
      </c>
      <c r="L119">
        <v>18</v>
      </c>
      <c r="M119">
        <v>9</v>
      </c>
    </row>
    <row r="120" spans="1:13" x14ac:dyDescent="0.35">
      <c r="A120">
        <v>118</v>
      </c>
      <c r="B120">
        <v>12</v>
      </c>
      <c r="C120">
        <v>6</v>
      </c>
      <c r="D120">
        <v>4</v>
      </c>
      <c r="F120">
        <v>118</v>
      </c>
      <c r="G120">
        <v>16</v>
      </c>
      <c r="H120">
        <v>9</v>
      </c>
      <c r="I120">
        <v>9</v>
      </c>
      <c r="K120">
        <v>118</v>
      </c>
      <c r="L120">
        <v>15</v>
      </c>
      <c r="M120">
        <v>10</v>
      </c>
    </row>
    <row r="121" spans="1:13" x14ac:dyDescent="0.35">
      <c r="A121">
        <v>119</v>
      </c>
      <c r="B121">
        <v>11</v>
      </c>
      <c r="C121">
        <v>12</v>
      </c>
      <c r="D121">
        <v>3</v>
      </c>
      <c r="F121">
        <v>119</v>
      </c>
      <c r="G121">
        <v>26</v>
      </c>
      <c r="H121">
        <v>8</v>
      </c>
      <c r="I121">
        <v>13</v>
      </c>
      <c r="K121">
        <v>119</v>
      </c>
      <c r="L121">
        <v>15</v>
      </c>
      <c r="M121">
        <v>9</v>
      </c>
    </row>
    <row r="122" spans="1:13" x14ac:dyDescent="0.35">
      <c r="A122">
        <v>120</v>
      </c>
      <c r="B122">
        <v>11</v>
      </c>
      <c r="C122">
        <v>13</v>
      </c>
      <c r="D122">
        <v>0</v>
      </c>
      <c r="F122">
        <v>120</v>
      </c>
      <c r="G122">
        <v>22</v>
      </c>
      <c r="H122">
        <v>8</v>
      </c>
      <c r="I122">
        <v>9</v>
      </c>
      <c r="K122">
        <v>120</v>
      </c>
      <c r="L122">
        <v>15</v>
      </c>
      <c r="M122">
        <v>10</v>
      </c>
    </row>
    <row r="123" spans="1:13" x14ac:dyDescent="0.35">
      <c r="A123">
        <v>121</v>
      </c>
      <c r="B123">
        <v>11</v>
      </c>
      <c r="C123">
        <v>11</v>
      </c>
      <c r="D123">
        <v>2</v>
      </c>
      <c r="F123">
        <v>121</v>
      </c>
      <c r="G123">
        <v>19</v>
      </c>
      <c r="H123">
        <v>11</v>
      </c>
      <c r="I123">
        <v>9</v>
      </c>
      <c r="K123">
        <v>121</v>
      </c>
      <c r="L123">
        <v>14</v>
      </c>
      <c r="M123">
        <v>13</v>
      </c>
    </row>
    <row r="124" spans="1:13" x14ac:dyDescent="0.35">
      <c r="A124">
        <v>122</v>
      </c>
      <c r="B124">
        <v>12</v>
      </c>
      <c r="C124">
        <v>8</v>
      </c>
      <c r="D124">
        <v>4</v>
      </c>
      <c r="F124">
        <v>122</v>
      </c>
      <c r="G124">
        <v>19</v>
      </c>
      <c r="H124">
        <v>8</v>
      </c>
      <c r="I124">
        <v>10</v>
      </c>
      <c r="K124">
        <v>122</v>
      </c>
      <c r="L124">
        <v>12</v>
      </c>
      <c r="M124">
        <v>8</v>
      </c>
    </row>
    <row r="125" spans="1:13" x14ac:dyDescent="0.35">
      <c r="A125">
        <v>123</v>
      </c>
      <c r="B125">
        <v>10</v>
      </c>
      <c r="C125">
        <v>7</v>
      </c>
      <c r="D125">
        <v>5</v>
      </c>
      <c r="F125">
        <v>123</v>
      </c>
      <c r="G125">
        <v>18</v>
      </c>
      <c r="H125">
        <v>11</v>
      </c>
      <c r="I125">
        <v>9</v>
      </c>
      <c r="K125">
        <v>123</v>
      </c>
      <c r="L125">
        <v>12</v>
      </c>
      <c r="M125">
        <v>7</v>
      </c>
    </row>
    <row r="126" spans="1:13" x14ac:dyDescent="0.35">
      <c r="A126">
        <v>124</v>
      </c>
      <c r="B126">
        <v>10</v>
      </c>
      <c r="C126">
        <v>9</v>
      </c>
      <c r="D126">
        <v>4</v>
      </c>
      <c r="F126">
        <v>124</v>
      </c>
      <c r="G126">
        <v>24</v>
      </c>
      <c r="H126">
        <v>11</v>
      </c>
      <c r="I126">
        <v>7</v>
      </c>
      <c r="K126">
        <v>124</v>
      </c>
      <c r="L126">
        <v>11</v>
      </c>
      <c r="M126">
        <v>4</v>
      </c>
    </row>
    <row r="127" spans="1:13" x14ac:dyDescent="0.35">
      <c r="A127">
        <v>125</v>
      </c>
      <c r="B127">
        <v>9</v>
      </c>
      <c r="C127">
        <v>1</v>
      </c>
      <c r="D127">
        <v>4</v>
      </c>
      <c r="F127">
        <v>125</v>
      </c>
      <c r="G127">
        <v>17</v>
      </c>
      <c r="H127">
        <v>9</v>
      </c>
      <c r="I127">
        <v>11</v>
      </c>
      <c r="K127">
        <v>125</v>
      </c>
      <c r="L127">
        <v>11</v>
      </c>
      <c r="M127">
        <v>4</v>
      </c>
    </row>
    <row r="128" spans="1:13" x14ac:dyDescent="0.35">
      <c r="A128">
        <v>126</v>
      </c>
      <c r="B128">
        <v>11</v>
      </c>
      <c r="C128">
        <v>8</v>
      </c>
      <c r="D128">
        <v>1</v>
      </c>
      <c r="F128">
        <v>126</v>
      </c>
      <c r="G128">
        <v>19</v>
      </c>
      <c r="H128">
        <v>9</v>
      </c>
      <c r="I128">
        <v>6</v>
      </c>
      <c r="K128">
        <v>126</v>
      </c>
      <c r="L128">
        <v>15</v>
      </c>
      <c r="M128">
        <v>8</v>
      </c>
    </row>
    <row r="129" spans="1:13" x14ac:dyDescent="0.35">
      <c r="A129">
        <v>127</v>
      </c>
      <c r="B129">
        <v>14</v>
      </c>
      <c r="C129">
        <v>9</v>
      </c>
      <c r="D129">
        <v>3</v>
      </c>
      <c r="F129">
        <v>127</v>
      </c>
      <c r="G129">
        <v>25</v>
      </c>
      <c r="H129">
        <v>10</v>
      </c>
      <c r="I129">
        <v>7</v>
      </c>
      <c r="K129">
        <v>127</v>
      </c>
      <c r="L129">
        <v>17</v>
      </c>
      <c r="M129">
        <v>15</v>
      </c>
    </row>
    <row r="130" spans="1:13" x14ac:dyDescent="0.35">
      <c r="A130">
        <v>128</v>
      </c>
      <c r="B130">
        <v>13</v>
      </c>
      <c r="C130">
        <v>7</v>
      </c>
      <c r="D130">
        <v>3</v>
      </c>
      <c r="F130">
        <v>128</v>
      </c>
      <c r="G130">
        <v>22</v>
      </c>
      <c r="H130">
        <v>10</v>
      </c>
      <c r="I130">
        <v>10</v>
      </c>
      <c r="K130">
        <v>128</v>
      </c>
      <c r="L130">
        <v>15</v>
      </c>
      <c r="M130">
        <v>11</v>
      </c>
    </row>
    <row r="131" spans="1:13" x14ac:dyDescent="0.35">
      <c r="A131">
        <v>129</v>
      </c>
      <c r="B131">
        <v>15</v>
      </c>
      <c r="C131">
        <v>6</v>
      </c>
      <c r="D131">
        <v>3</v>
      </c>
      <c r="F131">
        <v>129</v>
      </c>
      <c r="G131">
        <v>25</v>
      </c>
      <c r="H131">
        <v>10</v>
      </c>
      <c r="I131">
        <v>8</v>
      </c>
      <c r="K131">
        <v>129</v>
      </c>
      <c r="L131">
        <v>13</v>
      </c>
      <c r="M131">
        <v>10</v>
      </c>
    </row>
    <row r="132" spans="1:13" x14ac:dyDescent="0.35">
      <c r="A132">
        <v>130</v>
      </c>
      <c r="B132">
        <v>19</v>
      </c>
      <c r="C132">
        <v>11</v>
      </c>
      <c r="D132">
        <v>1</v>
      </c>
      <c r="F132">
        <v>130</v>
      </c>
      <c r="G132">
        <v>30</v>
      </c>
      <c r="H132">
        <v>12</v>
      </c>
      <c r="I132">
        <v>12</v>
      </c>
      <c r="K132">
        <v>130</v>
      </c>
      <c r="L132">
        <v>18</v>
      </c>
      <c r="M132">
        <v>8</v>
      </c>
    </row>
    <row r="133" spans="1:13" x14ac:dyDescent="0.35">
      <c r="A133">
        <v>131</v>
      </c>
      <c r="B133">
        <v>14</v>
      </c>
      <c r="C133">
        <v>1</v>
      </c>
      <c r="D133">
        <v>5</v>
      </c>
      <c r="F133">
        <v>131</v>
      </c>
      <c r="G133">
        <v>25</v>
      </c>
      <c r="H133">
        <v>11</v>
      </c>
      <c r="I133">
        <v>10</v>
      </c>
      <c r="K133">
        <v>131</v>
      </c>
      <c r="L133">
        <v>17</v>
      </c>
      <c r="M133">
        <v>11</v>
      </c>
    </row>
    <row r="134" spans="1:13" x14ac:dyDescent="0.35">
      <c r="A134">
        <v>132</v>
      </c>
      <c r="B134">
        <v>12</v>
      </c>
      <c r="C134">
        <v>15</v>
      </c>
      <c r="D134">
        <v>4</v>
      </c>
      <c r="F134">
        <v>132</v>
      </c>
      <c r="G134">
        <v>27</v>
      </c>
      <c r="H134">
        <v>13</v>
      </c>
      <c r="I134">
        <v>11</v>
      </c>
      <c r="K134">
        <v>132</v>
      </c>
      <c r="L134">
        <v>18</v>
      </c>
      <c r="M134">
        <v>10</v>
      </c>
    </row>
    <row r="135" spans="1:13" x14ac:dyDescent="0.35">
      <c r="A135">
        <v>133</v>
      </c>
      <c r="B135">
        <v>10</v>
      </c>
      <c r="C135">
        <v>7</v>
      </c>
      <c r="D135">
        <v>0</v>
      </c>
      <c r="F135">
        <v>133</v>
      </c>
      <c r="G135">
        <v>18</v>
      </c>
      <c r="H135">
        <v>14</v>
      </c>
      <c r="I135">
        <v>8</v>
      </c>
      <c r="K135">
        <v>133</v>
      </c>
      <c r="L135">
        <v>16</v>
      </c>
      <c r="M135">
        <v>7</v>
      </c>
    </row>
    <row r="136" spans="1:13" x14ac:dyDescent="0.35">
      <c r="A136">
        <v>134</v>
      </c>
      <c r="B136">
        <v>15</v>
      </c>
      <c r="C136">
        <v>6</v>
      </c>
      <c r="D136">
        <v>0</v>
      </c>
      <c r="F136">
        <v>134</v>
      </c>
      <c r="G136">
        <v>21</v>
      </c>
      <c r="H136">
        <v>11</v>
      </c>
      <c r="I136">
        <v>14</v>
      </c>
      <c r="K136">
        <v>134</v>
      </c>
      <c r="L136">
        <v>13</v>
      </c>
      <c r="M136">
        <v>10</v>
      </c>
    </row>
    <row r="137" spans="1:13" x14ac:dyDescent="0.35">
      <c r="A137">
        <v>135</v>
      </c>
      <c r="B137">
        <v>9</v>
      </c>
      <c r="C137">
        <v>6</v>
      </c>
      <c r="D137">
        <v>5</v>
      </c>
      <c r="F137">
        <v>135</v>
      </c>
      <c r="G137">
        <v>10</v>
      </c>
      <c r="H137">
        <v>7</v>
      </c>
      <c r="I137">
        <v>9</v>
      </c>
      <c r="K137">
        <v>135</v>
      </c>
      <c r="L137">
        <v>13</v>
      </c>
      <c r="M137">
        <v>11</v>
      </c>
    </row>
    <row r="138" spans="1:13" x14ac:dyDescent="0.35">
      <c r="A138">
        <v>136</v>
      </c>
      <c r="B138">
        <v>11</v>
      </c>
      <c r="C138">
        <v>9</v>
      </c>
      <c r="D138">
        <v>2</v>
      </c>
      <c r="F138">
        <v>136</v>
      </c>
      <c r="G138">
        <v>15</v>
      </c>
      <c r="H138">
        <v>13</v>
      </c>
      <c r="I138">
        <v>12</v>
      </c>
      <c r="K138">
        <v>136</v>
      </c>
      <c r="L138">
        <v>11</v>
      </c>
      <c r="M138">
        <v>9</v>
      </c>
    </row>
    <row r="139" spans="1:13" x14ac:dyDescent="0.35">
      <c r="A139">
        <v>137</v>
      </c>
      <c r="B139">
        <v>12</v>
      </c>
      <c r="C139">
        <v>2</v>
      </c>
      <c r="D139">
        <v>2</v>
      </c>
      <c r="F139">
        <v>137</v>
      </c>
      <c r="G139">
        <v>25</v>
      </c>
      <c r="H139">
        <v>15</v>
      </c>
      <c r="I139">
        <v>11</v>
      </c>
      <c r="K139">
        <v>137</v>
      </c>
      <c r="L139">
        <v>9</v>
      </c>
      <c r="M139">
        <v>5</v>
      </c>
    </row>
    <row r="140" spans="1:13" x14ac:dyDescent="0.35">
      <c r="A140">
        <v>138</v>
      </c>
      <c r="B140">
        <v>11</v>
      </c>
      <c r="C140">
        <v>7</v>
      </c>
      <c r="D140">
        <v>4</v>
      </c>
      <c r="F140">
        <v>138</v>
      </c>
      <c r="G140">
        <v>19</v>
      </c>
      <c r="H140">
        <v>10</v>
      </c>
      <c r="I140">
        <v>9</v>
      </c>
      <c r="K140">
        <v>138</v>
      </c>
      <c r="L140">
        <v>14</v>
      </c>
      <c r="M140">
        <v>12</v>
      </c>
    </row>
    <row r="141" spans="1:13" x14ac:dyDescent="0.35">
      <c r="A141">
        <v>139</v>
      </c>
      <c r="B141">
        <v>8</v>
      </c>
      <c r="C141">
        <v>7</v>
      </c>
      <c r="D141">
        <v>1</v>
      </c>
      <c r="F141">
        <v>139</v>
      </c>
      <c r="G141">
        <v>23</v>
      </c>
      <c r="H141">
        <v>12</v>
      </c>
      <c r="I141">
        <v>8</v>
      </c>
      <c r="K141">
        <v>139</v>
      </c>
      <c r="L141">
        <v>18</v>
      </c>
      <c r="M141">
        <v>7</v>
      </c>
    </row>
    <row r="142" spans="1:13" x14ac:dyDescent="0.35">
      <c r="A142">
        <v>140</v>
      </c>
      <c r="B142">
        <v>13</v>
      </c>
      <c r="C142">
        <v>7</v>
      </c>
      <c r="D142">
        <v>5</v>
      </c>
      <c r="F142">
        <v>140</v>
      </c>
      <c r="G142">
        <v>22</v>
      </c>
      <c r="H142">
        <v>12</v>
      </c>
      <c r="I142">
        <v>8</v>
      </c>
      <c r="K142">
        <v>140</v>
      </c>
      <c r="L142">
        <v>17</v>
      </c>
      <c r="M142">
        <v>11</v>
      </c>
    </row>
    <row r="143" spans="1:13" x14ac:dyDescent="0.35">
      <c r="A143">
        <v>141</v>
      </c>
      <c r="B143">
        <v>16</v>
      </c>
      <c r="C143">
        <v>14</v>
      </c>
      <c r="D143">
        <v>4</v>
      </c>
      <c r="F143">
        <v>141</v>
      </c>
      <c r="G143">
        <v>25</v>
      </c>
      <c r="H143">
        <v>9</v>
      </c>
      <c r="I143">
        <v>7</v>
      </c>
      <c r="K143">
        <v>141</v>
      </c>
      <c r="L143">
        <v>17</v>
      </c>
      <c r="M143">
        <v>5</v>
      </c>
    </row>
    <row r="144" spans="1:13" x14ac:dyDescent="0.35">
      <c r="A144">
        <v>142</v>
      </c>
      <c r="B144">
        <v>16</v>
      </c>
      <c r="C144">
        <v>5</v>
      </c>
      <c r="D144">
        <v>3</v>
      </c>
      <c r="F144">
        <v>142</v>
      </c>
      <c r="G144">
        <v>27</v>
      </c>
      <c r="H144">
        <v>10</v>
      </c>
      <c r="I144">
        <v>10</v>
      </c>
      <c r="K144">
        <v>142</v>
      </c>
      <c r="L144">
        <v>19</v>
      </c>
      <c r="M144">
        <v>9</v>
      </c>
    </row>
    <row r="145" spans="1:13" x14ac:dyDescent="0.35">
      <c r="A145">
        <v>143</v>
      </c>
      <c r="B145">
        <v>17</v>
      </c>
      <c r="C145">
        <v>11</v>
      </c>
      <c r="D145">
        <v>3</v>
      </c>
      <c r="F145">
        <v>143</v>
      </c>
      <c r="G145">
        <v>26</v>
      </c>
      <c r="H145">
        <v>12</v>
      </c>
      <c r="I145">
        <v>10</v>
      </c>
      <c r="K145">
        <v>143</v>
      </c>
      <c r="L145">
        <v>17</v>
      </c>
      <c r="M145">
        <v>9</v>
      </c>
    </row>
    <row r="146" spans="1:13" x14ac:dyDescent="0.35">
      <c r="A146">
        <v>144</v>
      </c>
      <c r="B146">
        <v>16</v>
      </c>
      <c r="C146">
        <v>8</v>
      </c>
      <c r="D146">
        <v>3</v>
      </c>
      <c r="F146">
        <v>144</v>
      </c>
      <c r="G146">
        <v>25</v>
      </c>
      <c r="H146">
        <v>15</v>
      </c>
      <c r="I146">
        <v>13</v>
      </c>
      <c r="K146">
        <v>144</v>
      </c>
      <c r="L146">
        <v>18</v>
      </c>
      <c r="M146">
        <v>3</v>
      </c>
    </row>
    <row r="147" spans="1:13" x14ac:dyDescent="0.35">
      <c r="A147">
        <v>145</v>
      </c>
      <c r="B147">
        <v>15</v>
      </c>
      <c r="C147">
        <v>7</v>
      </c>
      <c r="D147">
        <v>0</v>
      </c>
      <c r="F147">
        <v>145</v>
      </c>
      <c r="G147">
        <v>21</v>
      </c>
      <c r="H147">
        <v>9</v>
      </c>
      <c r="I147">
        <v>12</v>
      </c>
      <c r="K147">
        <v>145</v>
      </c>
      <c r="L147">
        <v>17</v>
      </c>
      <c r="M147">
        <v>10</v>
      </c>
    </row>
    <row r="148" spans="1:13" x14ac:dyDescent="0.35">
      <c r="A148">
        <v>146</v>
      </c>
      <c r="B148">
        <v>13</v>
      </c>
      <c r="C148">
        <v>10</v>
      </c>
      <c r="D148">
        <v>4</v>
      </c>
      <c r="F148">
        <v>146</v>
      </c>
      <c r="G148">
        <v>22</v>
      </c>
      <c r="H148">
        <v>7</v>
      </c>
      <c r="I148">
        <v>8</v>
      </c>
      <c r="K148">
        <v>146</v>
      </c>
      <c r="L148">
        <v>15</v>
      </c>
      <c r="M148">
        <v>8</v>
      </c>
    </row>
    <row r="149" spans="1:13" x14ac:dyDescent="0.35">
      <c r="A149">
        <v>147</v>
      </c>
      <c r="B149">
        <v>16</v>
      </c>
      <c r="C149">
        <v>7</v>
      </c>
      <c r="D149">
        <v>4</v>
      </c>
      <c r="F149">
        <v>147</v>
      </c>
      <c r="G149">
        <v>27</v>
      </c>
      <c r="H149">
        <v>6</v>
      </c>
      <c r="I149">
        <v>5</v>
      </c>
      <c r="K149">
        <v>147</v>
      </c>
      <c r="L149">
        <v>15</v>
      </c>
      <c r="M149">
        <v>14</v>
      </c>
    </row>
    <row r="150" spans="1:13" x14ac:dyDescent="0.35">
      <c r="A150">
        <v>148</v>
      </c>
      <c r="B150">
        <v>14</v>
      </c>
      <c r="C150">
        <v>7</v>
      </c>
      <c r="D150">
        <v>4</v>
      </c>
      <c r="F150">
        <v>148</v>
      </c>
      <c r="G150">
        <v>23</v>
      </c>
      <c r="H150">
        <v>13</v>
      </c>
      <c r="I150">
        <v>11</v>
      </c>
      <c r="K150">
        <v>148</v>
      </c>
      <c r="L150">
        <v>16</v>
      </c>
      <c r="M150">
        <v>5</v>
      </c>
    </row>
    <row r="151" spans="1:13" x14ac:dyDescent="0.35">
      <c r="A151">
        <v>149</v>
      </c>
      <c r="B151">
        <v>11</v>
      </c>
      <c r="C151">
        <v>10</v>
      </c>
      <c r="D151">
        <v>5</v>
      </c>
      <c r="F151">
        <v>149</v>
      </c>
      <c r="G151">
        <v>22</v>
      </c>
      <c r="H151">
        <v>11</v>
      </c>
      <c r="I151">
        <v>11</v>
      </c>
      <c r="K151">
        <v>149</v>
      </c>
      <c r="L151">
        <v>16</v>
      </c>
      <c r="M151">
        <v>7</v>
      </c>
    </row>
    <row r="152" spans="1:13" x14ac:dyDescent="0.35">
      <c r="A152">
        <v>150</v>
      </c>
      <c r="B152">
        <v>13</v>
      </c>
      <c r="C152">
        <v>3</v>
      </c>
      <c r="D152">
        <v>5</v>
      </c>
      <c r="F152">
        <v>150</v>
      </c>
      <c r="G152">
        <v>13</v>
      </c>
      <c r="H152">
        <v>8</v>
      </c>
      <c r="I152">
        <v>8</v>
      </c>
      <c r="K152">
        <v>150</v>
      </c>
      <c r="L152">
        <v>9</v>
      </c>
      <c r="M152">
        <v>10</v>
      </c>
    </row>
    <row r="153" spans="1:13" x14ac:dyDescent="0.35">
      <c r="A153">
        <v>151</v>
      </c>
      <c r="B153">
        <v>10</v>
      </c>
      <c r="C153">
        <v>8</v>
      </c>
      <c r="D153">
        <v>3</v>
      </c>
      <c r="F153">
        <v>151</v>
      </c>
      <c r="G153">
        <v>14</v>
      </c>
      <c r="H153">
        <v>9</v>
      </c>
      <c r="I153">
        <v>6</v>
      </c>
      <c r="K153">
        <v>151</v>
      </c>
      <c r="L153">
        <v>15</v>
      </c>
      <c r="M153">
        <v>3</v>
      </c>
    </row>
    <row r="154" spans="1:13" x14ac:dyDescent="0.35">
      <c r="A154">
        <v>152</v>
      </c>
      <c r="B154">
        <v>13</v>
      </c>
      <c r="C154">
        <v>10</v>
      </c>
      <c r="D154">
        <v>5</v>
      </c>
      <c r="F154">
        <v>152</v>
      </c>
      <c r="G154">
        <v>17</v>
      </c>
      <c r="H154">
        <v>10</v>
      </c>
      <c r="I154">
        <v>11</v>
      </c>
      <c r="K154">
        <v>152</v>
      </c>
      <c r="L154">
        <v>14</v>
      </c>
      <c r="M154">
        <v>9</v>
      </c>
    </row>
    <row r="155" spans="1:13" x14ac:dyDescent="0.35">
      <c r="A155">
        <v>153</v>
      </c>
      <c r="B155">
        <v>13</v>
      </c>
      <c r="C155">
        <v>11</v>
      </c>
      <c r="D155">
        <v>3</v>
      </c>
      <c r="F155">
        <v>153</v>
      </c>
      <c r="G155">
        <v>19</v>
      </c>
      <c r="H155">
        <v>12</v>
      </c>
      <c r="I155">
        <v>13</v>
      </c>
      <c r="K155">
        <v>153</v>
      </c>
      <c r="L155">
        <v>20</v>
      </c>
      <c r="M155">
        <v>11</v>
      </c>
    </row>
    <row r="156" spans="1:13" x14ac:dyDescent="0.35">
      <c r="A156">
        <v>154</v>
      </c>
      <c r="B156">
        <v>17</v>
      </c>
      <c r="C156">
        <v>10</v>
      </c>
      <c r="D156">
        <v>6</v>
      </c>
      <c r="F156">
        <v>154</v>
      </c>
      <c r="G156">
        <v>33</v>
      </c>
      <c r="H156">
        <v>14</v>
      </c>
      <c r="I156">
        <v>14</v>
      </c>
      <c r="K156">
        <v>154</v>
      </c>
      <c r="L156">
        <v>15</v>
      </c>
      <c r="M156">
        <v>6</v>
      </c>
    </row>
    <row r="157" spans="1:13" x14ac:dyDescent="0.35">
      <c r="A157">
        <v>155</v>
      </c>
      <c r="B157">
        <v>17</v>
      </c>
      <c r="C157">
        <v>12</v>
      </c>
      <c r="D157">
        <v>2</v>
      </c>
      <c r="F157">
        <v>155</v>
      </c>
      <c r="G157">
        <v>26</v>
      </c>
      <c r="H157">
        <v>10</v>
      </c>
      <c r="I157">
        <v>4</v>
      </c>
      <c r="K157">
        <v>155</v>
      </c>
      <c r="L157">
        <v>16</v>
      </c>
      <c r="M157">
        <v>9</v>
      </c>
    </row>
    <row r="158" spans="1:13" x14ac:dyDescent="0.35">
      <c r="A158">
        <v>156</v>
      </c>
      <c r="B158">
        <v>18</v>
      </c>
      <c r="C158">
        <v>11</v>
      </c>
      <c r="D158">
        <v>3</v>
      </c>
      <c r="F158">
        <v>156</v>
      </c>
      <c r="G158">
        <v>30</v>
      </c>
      <c r="H158">
        <v>12</v>
      </c>
      <c r="I158">
        <v>10</v>
      </c>
      <c r="K158">
        <v>156</v>
      </c>
      <c r="L158">
        <v>22</v>
      </c>
      <c r="M158">
        <v>14</v>
      </c>
    </row>
    <row r="159" spans="1:13" x14ac:dyDescent="0.35">
      <c r="A159">
        <v>157</v>
      </c>
      <c r="B159">
        <v>16</v>
      </c>
      <c r="C159">
        <v>10</v>
      </c>
      <c r="D159">
        <v>4</v>
      </c>
      <c r="F159">
        <v>157</v>
      </c>
      <c r="G159">
        <v>27</v>
      </c>
      <c r="H159">
        <v>11</v>
      </c>
      <c r="I159">
        <v>11</v>
      </c>
      <c r="K159">
        <v>157</v>
      </c>
      <c r="L159">
        <v>18</v>
      </c>
      <c r="M159">
        <v>14</v>
      </c>
    </row>
    <row r="160" spans="1:13" x14ac:dyDescent="0.35">
      <c r="A160">
        <v>158</v>
      </c>
      <c r="B160">
        <v>15</v>
      </c>
      <c r="C160">
        <v>6</v>
      </c>
      <c r="D160">
        <v>1</v>
      </c>
      <c r="F160">
        <v>158</v>
      </c>
      <c r="G160">
        <v>25</v>
      </c>
      <c r="H160">
        <v>13</v>
      </c>
      <c r="I160">
        <v>14</v>
      </c>
      <c r="K160">
        <v>158</v>
      </c>
      <c r="L160">
        <v>20</v>
      </c>
      <c r="M160">
        <v>7</v>
      </c>
    </row>
    <row r="161" spans="1:13" x14ac:dyDescent="0.35">
      <c r="A161">
        <v>159</v>
      </c>
      <c r="B161">
        <v>13</v>
      </c>
      <c r="C161">
        <v>9</v>
      </c>
      <c r="D161">
        <v>4</v>
      </c>
      <c r="F161">
        <v>159</v>
      </c>
      <c r="G161">
        <v>23</v>
      </c>
      <c r="H161">
        <v>12</v>
      </c>
      <c r="I161">
        <v>13</v>
      </c>
      <c r="K161">
        <v>159</v>
      </c>
      <c r="L161">
        <v>16</v>
      </c>
      <c r="M161">
        <v>5</v>
      </c>
    </row>
    <row r="162" spans="1:13" x14ac:dyDescent="0.35">
      <c r="A162">
        <v>160</v>
      </c>
      <c r="B162">
        <v>14</v>
      </c>
      <c r="C162">
        <v>9</v>
      </c>
      <c r="D162">
        <v>6</v>
      </c>
      <c r="F162">
        <v>160</v>
      </c>
      <c r="G162">
        <v>23</v>
      </c>
      <c r="H162">
        <v>5</v>
      </c>
      <c r="I162">
        <v>18</v>
      </c>
      <c r="K162">
        <v>160</v>
      </c>
      <c r="L162">
        <v>17</v>
      </c>
      <c r="M162">
        <v>12</v>
      </c>
    </row>
    <row r="163" spans="1:13" x14ac:dyDescent="0.35">
      <c r="A163">
        <v>161</v>
      </c>
      <c r="B163">
        <v>13</v>
      </c>
      <c r="C163">
        <v>4</v>
      </c>
      <c r="D163">
        <v>3</v>
      </c>
      <c r="F163">
        <v>161</v>
      </c>
      <c r="G163">
        <v>22</v>
      </c>
      <c r="H163">
        <v>10</v>
      </c>
      <c r="I163">
        <v>8</v>
      </c>
      <c r="K163">
        <v>161</v>
      </c>
      <c r="L163">
        <v>15</v>
      </c>
      <c r="M163">
        <v>12</v>
      </c>
    </row>
    <row r="164" spans="1:13" x14ac:dyDescent="0.35">
      <c r="A164">
        <v>162</v>
      </c>
      <c r="B164">
        <v>8</v>
      </c>
      <c r="C164">
        <v>10</v>
      </c>
      <c r="D164">
        <v>2</v>
      </c>
      <c r="F164">
        <v>162</v>
      </c>
      <c r="G164">
        <v>18</v>
      </c>
      <c r="H164">
        <v>14</v>
      </c>
      <c r="I164">
        <v>6</v>
      </c>
      <c r="K164">
        <v>162</v>
      </c>
      <c r="L164">
        <v>14</v>
      </c>
      <c r="M164">
        <v>10</v>
      </c>
    </row>
    <row r="165" spans="1:13" x14ac:dyDescent="0.35">
      <c r="A165">
        <v>163</v>
      </c>
      <c r="B165">
        <v>13</v>
      </c>
      <c r="C165">
        <v>7</v>
      </c>
      <c r="D165">
        <v>1</v>
      </c>
      <c r="F165">
        <v>163</v>
      </c>
      <c r="G165">
        <v>22</v>
      </c>
      <c r="H165">
        <v>12</v>
      </c>
      <c r="I165">
        <v>10</v>
      </c>
      <c r="K165">
        <v>163</v>
      </c>
      <c r="L165">
        <v>14</v>
      </c>
      <c r="M165">
        <v>12</v>
      </c>
    </row>
    <row r="166" spans="1:13" x14ac:dyDescent="0.35">
      <c r="A166">
        <v>164</v>
      </c>
      <c r="B166">
        <v>12</v>
      </c>
      <c r="C166">
        <v>7</v>
      </c>
      <c r="D166">
        <v>1</v>
      </c>
      <c r="F166">
        <v>164</v>
      </c>
      <c r="G166">
        <v>23</v>
      </c>
      <c r="H166">
        <v>13</v>
      </c>
      <c r="I166">
        <v>17</v>
      </c>
      <c r="K166">
        <v>164</v>
      </c>
      <c r="L166">
        <v>16</v>
      </c>
      <c r="M166">
        <v>7</v>
      </c>
    </row>
    <row r="167" spans="1:13" x14ac:dyDescent="0.35">
      <c r="A167">
        <v>165</v>
      </c>
      <c r="B167">
        <v>12</v>
      </c>
      <c r="C167">
        <v>9</v>
      </c>
      <c r="D167">
        <v>2</v>
      </c>
      <c r="F167">
        <v>165</v>
      </c>
      <c r="G167">
        <v>15</v>
      </c>
      <c r="H167">
        <v>11</v>
      </c>
      <c r="I167">
        <v>5</v>
      </c>
      <c r="K167">
        <v>165</v>
      </c>
      <c r="L167">
        <v>14</v>
      </c>
      <c r="M167">
        <v>10</v>
      </c>
    </row>
    <row r="168" spans="1:13" x14ac:dyDescent="0.35">
      <c r="A168">
        <v>166</v>
      </c>
      <c r="B168">
        <v>16</v>
      </c>
      <c r="C168">
        <v>9</v>
      </c>
      <c r="D168">
        <v>2</v>
      </c>
      <c r="F168">
        <v>166</v>
      </c>
      <c r="G168">
        <v>19</v>
      </c>
      <c r="H168">
        <v>10</v>
      </c>
      <c r="I168">
        <v>6</v>
      </c>
      <c r="K168">
        <v>166</v>
      </c>
      <c r="L168">
        <v>18</v>
      </c>
      <c r="M168">
        <v>8</v>
      </c>
    </row>
    <row r="169" spans="1:13" x14ac:dyDescent="0.35">
      <c r="A169">
        <v>167</v>
      </c>
      <c r="B169">
        <v>16</v>
      </c>
      <c r="C169">
        <v>6</v>
      </c>
      <c r="D169">
        <v>6</v>
      </c>
      <c r="F169">
        <v>167</v>
      </c>
      <c r="G169">
        <v>27</v>
      </c>
      <c r="H169">
        <v>13</v>
      </c>
      <c r="I169">
        <v>8</v>
      </c>
      <c r="K169">
        <v>167</v>
      </c>
      <c r="L169">
        <v>19</v>
      </c>
      <c r="M169">
        <v>12</v>
      </c>
    </row>
    <row r="170" spans="1:13" x14ac:dyDescent="0.35">
      <c r="A170">
        <v>168</v>
      </c>
      <c r="B170">
        <v>19</v>
      </c>
      <c r="C170">
        <v>12</v>
      </c>
      <c r="D170">
        <v>4</v>
      </c>
      <c r="F170">
        <v>168</v>
      </c>
      <c r="G170">
        <v>23</v>
      </c>
      <c r="H170">
        <v>10</v>
      </c>
      <c r="I170">
        <v>1</v>
      </c>
      <c r="K170">
        <v>168</v>
      </c>
      <c r="L170">
        <v>21</v>
      </c>
      <c r="M170">
        <v>10</v>
      </c>
    </row>
    <row r="171" spans="1:13" x14ac:dyDescent="0.35">
      <c r="A171">
        <v>169</v>
      </c>
      <c r="B171">
        <v>17</v>
      </c>
      <c r="C171">
        <v>10</v>
      </c>
      <c r="D171">
        <v>6</v>
      </c>
      <c r="F171">
        <v>169</v>
      </c>
      <c r="G171">
        <v>24</v>
      </c>
      <c r="H171">
        <v>14</v>
      </c>
      <c r="I171">
        <v>4</v>
      </c>
      <c r="K171">
        <v>169</v>
      </c>
      <c r="L171">
        <v>16</v>
      </c>
      <c r="M171">
        <v>6</v>
      </c>
    </row>
    <row r="172" spans="1:13" x14ac:dyDescent="0.35">
      <c r="A172">
        <v>170</v>
      </c>
      <c r="B172">
        <v>17</v>
      </c>
      <c r="C172">
        <v>13</v>
      </c>
      <c r="D172">
        <v>4</v>
      </c>
      <c r="F172">
        <v>170</v>
      </c>
      <c r="G172">
        <v>23</v>
      </c>
      <c r="H172">
        <v>10</v>
      </c>
      <c r="I172">
        <v>6</v>
      </c>
      <c r="K172">
        <v>170</v>
      </c>
      <c r="L172">
        <v>18</v>
      </c>
      <c r="M172">
        <v>5</v>
      </c>
    </row>
    <row r="173" spans="1:13" x14ac:dyDescent="0.35">
      <c r="A173">
        <v>171</v>
      </c>
      <c r="B173">
        <v>17</v>
      </c>
      <c r="C173">
        <v>13</v>
      </c>
      <c r="D173">
        <v>0</v>
      </c>
      <c r="F173">
        <v>171</v>
      </c>
      <c r="G173">
        <v>20</v>
      </c>
      <c r="H173">
        <v>13</v>
      </c>
      <c r="I173">
        <v>5</v>
      </c>
      <c r="K173">
        <v>171</v>
      </c>
      <c r="L173">
        <v>20</v>
      </c>
      <c r="M173">
        <v>15</v>
      </c>
    </row>
    <row r="174" spans="1:13" x14ac:dyDescent="0.35">
      <c r="A174">
        <v>172</v>
      </c>
      <c r="B174">
        <v>14</v>
      </c>
      <c r="C174">
        <v>11</v>
      </c>
      <c r="D174">
        <v>2</v>
      </c>
      <c r="F174">
        <v>172</v>
      </c>
      <c r="G174">
        <v>19</v>
      </c>
      <c r="H174">
        <v>10</v>
      </c>
      <c r="I174">
        <v>10</v>
      </c>
      <c r="K174">
        <v>172</v>
      </c>
      <c r="L174">
        <v>16</v>
      </c>
      <c r="M174">
        <v>7</v>
      </c>
    </row>
    <row r="175" spans="1:13" x14ac:dyDescent="0.35">
      <c r="A175">
        <v>173</v>
      </c>
      <c r="B175">
        <v>14</v>
      </c>
      <c r="C175">
        <v>6</v>
      </c>
      <c r="D175">
        <v>5</v>
      </c>
      <c r="F175">
        <v>173</v>
      </c>
      <c r="G175">
        <v>23</v>
      </c>
      <c r="H175">
        <v>10</v>
      </c>
      <c r="I175">
        <v>10</v>
      </c>
      <c r="K175">
        <v>173</v>
      </c>
      <c r="L175">
        <v>13</v>
      </c>
      <c r="M175">
        <v>12</v>
      </c>
    </row>
    <row r="176" spans="1:13" x14ac:dyDescent="0.35">
      <c r="A176">
        <v>174</v>
      </c>
      <c r="B176">
        <v>13</v>
      </c>
      <c r="C176">
        <v>4</v>
      </c>
      <c r="D176">
        <v>2</v>
      </c>
      <c r="F176">
        <v>174</v>
      </c>
      <c r="G176">
        <v>16</v>
      </c>
      <c r="H176">
        <v>15</v>
      </c>
      <c r="I176">
        <v>10</v>
      </c>
      <c r="K176">
        <v>174</v>
      </c>
      <c r="L176">
        <v>17</v>
      </c>
      <c r="M176">
        <v>3</v>
      </c>
    </row>
    <row r="177" spans="1:13" x14ac:dyDescent="0.35">
      <c r="A177">
        <v>175</v>
      </c>
      <c r="B177">
        <v>12</v>
      </c>
      <c r="C177">
        <v>8</v>
      </c>
      <c r="D177">
        <v>4</v>
      </c>
      <c r="F177">
        <v>175</v>
      </c>
      <c r="G177">
        <v>19</v>
      </c>
      <c r="H177">
        <v>11</v>
      </c>
      <c r="I177">
        <v>8</v>
      </c>
      <c r="K177">
        <v>175</v>
      </c>
      <c r="L177">
        <v>18</v>
      </c>
      <c r="M177">
        <v>10</v>
      </c>
    </row>
    <row r="178" spans="1:13" x14ac:dyDescent="0.35">
      <c r="A178">
        <v>176</v>
      </c>
      <c r="B178">
        <v>12</v>
      </c>
      <c r="C178">
        <v>14</v>
      </c>
      <c r="D178">
        <v>0</v>
      </c>
      <c r="F178">
        <v>176</v>
      </c>
      <c r="G178">
        <v>16</v>
      </c>
      <c r="H178">
        <v>13</v>
      </c>
      <c r="I178">
        <v>6</v>
      </c>
      <c r="K178">
        <v>176</v>
      </c>
      <c r="L178">
        <v>16</v>
      </c>
      <c r="M178">
        <v>11</v>
      </c>
    </row>
    <row r="179" spans="1:13" x14ac:dyDescent="0.35">
      <c r="A179">
        <v>177</v>
      </c>
      <c r="B179">
        <v>13</v>
      </c>
      <c r="C179">
        <v>3</v>
      </c>
      <c r="D179">
        <v>3</v>
      </c>
      <c r="F179">
        <v>177</v>
      </c>
      <c r="G179">
        <v>19</v>
      </c>
      <c r="H179">
        <v>14</v>
      </c>
      <c r="I179">
        <v>13</v>
      </c>
      <c r="K179">
        <v>177</v>
      </c>
      <c r="L179">
        <v>12</v>
      </c>
      <c r="M179">
        <v>8</v>
      </c>
    </row>
    <row r="180" spans="1:13" x14ac:dyDescent="0.35">
      <c r="A180">
        <v>178</v>
      </c>
      <c r="B180">
        <v>13</v>
      </c>
      <c r="C180">
        <v>5</v>
      </c>
      <c r="D180">
        <v>5</v>
      </c>
      <c r="F180">
        <v>178</v>
      </c>
      <c r="G180">
        <v>23</v>
      </c>
      <c r="H180">
        <v>8</v>
      </c>
      <c r="I180">
        <v>7</v>
      </c>
      <c r="K180">
        <v>178</v>
      </c>
      <c r="L180">
        <v>20</v>
      </c>
      <c r="M180">
        <v>11</v>
      </c>
    </row>
    <row r="181" spans="1:13" x14ac:dyDescent="0.35">
      <c r="A181">
        <v>179</v>
      </c>
      <c r="B181">
        <v>16</v>
      </c>
      <c r="C181">
        <v>6</v>
      </c>
      <c r="D181">
        <v>4</v>
      </c>
      <c r="F181">
        <v>179</v>
      </c>
      <c r="G181">
        <v>17</v>
      </c>
      <c r="H181">
        <v>14</v>
      </c>
      <c r="I181">
        <v>12</v>
      </c>
      <c r="K181">
        <v>179</v>
      </c>
      <c r="L181">
        <v>16</v>
      </c>
      <c r="M181">
        <v>9</v>
      </c>
    </row>
    <row r="182" spans="1:13" x14ac:dyDescent="0.35">
      <c r="A182">
        <v>180</v>
      </c>
      <c r="B182">
        <v>17</v>
      </c>
      <c r="C182">
        <v>8</v>
      </c>
      <c r="D182">
        <v>7</v>
      </c>
      <c r="F182">
        <v>180</v>
      </c>
      <c r="G182">
        <v>17</v>
      </c>
      <c r="H182">
        <v>11</v>
      </c>
      <c r="I182">
        <v>6</v>
      </c>
      <c r="K182">
        <v>180</v>
      </c>
      <c r="L182">
        <v>18</v>
      </c>
      <c r="M182">
        <v>6</v>
      </c>
    </row>
    <row r="183" spans="1:13" x14ac:dyDescent="0.35">
      <c r="A183">
        <v>181</v>
      </c>
      <c r="B183">
        <v>18</v>
      </c>
      <c r="C183">
        <v>9</v>
      </c>
      <c r="D183">
        <v>4</v>
      </c>
      <c r="F183">
        <v>181</v>
      </c>
      <c r="G183">
        <v>23</v>
      </c>
      <c r="H183">
        <v>12</v>
      </c>
      <c r="I183">
        <v>11</v>
      </c>
      <c r="K183">
        <v>181</v>
      </c>
      <c r="L183">
        <v>19</v>
      </c>
      <c r="M183">
        <v>4</v>
      </c>
    </row>
    <row r="184" spans="1:13" x14ac:dyDescent="0.35">
      <c r="A184">
        <v>182</v>
      </c>
      <c r="B184">
        <v>18</v>
      </c>
      <c r="C184">
        <v>4</v>
      </c>
      <c r="D184">
        <v>1</v>
      </c>
      <c r="F184">
        <v>182</v>
      </c>
      <c r="G184">
        <v>24</v>
      </c>
      <c r="H184">
        <v>13</v>
      </c>
      <c r="I184">
        <v>7</v>
      </c>
      <c r="K184">
        <v>182</v>
      </c>
      <c r="L184">
        <v>13</v>
      </c>
      <c r="M184">
        <v>14</v>
      </c>
    </row>
    <row r="185" spans="1:13" x14ac:dyDescent="0.35">
      <c r="A185">
        <v>183</v>
      </c>
      <c r="B185">
        <v>18</v>
      </c>
      <c r="C185">
        <v>9</v>
      </c>
      <c r="D185">
        <v>3</v>
      </c>
      <c r="F185">
        <v>183</v>
      </c>
      <c r="G185">
        <v>24</v>
      </c>
      <c r="H185">
        <v>11</v>
      </c>
      <c r="I185">
        <v>10</v>
      </c>
      <c r="K185">
        <v>183</v>
      </c>
      <c r="L185">
        <v>20</v>
      </c>
      <c r="M185">
        <v>13</v>
      </c>
    </row>
    <row r="186" spans="1:13" x14ac:dyDescent="0.35">
      <c r="A186">
        <v>184</v>
      </c>
      <c r="B186">
        <v>16</v>
      </c>
      <c r="C186">
        <v>9</v>
      </c>
      <c r="D186">
        <v>1</v>
      </c>
      <c r="F186">
        <v>184</v>
      </c>
      <c r="G186">
        <v>33</v>
      </c>
      <c r="H186">
        <v>12</v>
      </c>
      <c r="I186">
        <v>9</v>
      </c>
      <c r="K186">
        <v>184</v>
      </c>
      <c r="L186">
        <v>17</v>
      </c>
      <c r="M186">
        <v>6</v>
      </c>
    </row>
    <row r="187" spans="1:13" x14ac:dyDescent="0.35">
      <c r="A187">
        <v>185</v>
      </c>
      <c r="B187">
        <v>13</v>
      </c>
      <c r="C187">
        <v>11</v>
      </c>
      <c r="D187">
        <v>8</v>
      </c>
      <c r="F187">
        <v>185</v>
      </c>
      <c r="G187">
        <v>22</v>
      </c>
      <c r="H187">
        <v>13</v>
      </c>
      <c r="I187">
        <v>6</v>
      </c>
      <c r="K187">
        <v>185</v>
      </c>
      <c r="L187">
        <v>20</v>
      </c>
      <c r="M187">
        <v>10</v>
      </c>
    </row>
    <row r="188" spans="1:13" x14ac:dyDescent="0.35">
      <c r="A188">
        <v>186</v>
      </c>
      <c r="B188">
        <v>12</v>
      </c>
      <c r="C188">
        <v>13</v>
      </c>
      <c r="D188">
        <v>3</v>
      </c>
      <c r="F188">
        <v>186</v>
      </c>
      <c r="G188">
        <v>22</v>
      </c>
      <c r="H188">
        <v>13</v>
      </c>
      <c r="I188">
        <v>11</v>
      </c>
      <c r="K188">
        <v>186</v>
      </c>
      <c r="L188">
        <v>17</v>
      </c>
      <c r="M188">
        <v>7</v>
      </c>
    </row>
    <row r="189" spans="1:13" x14ac:dyDescent="0.35">
      <c r="A189">
        <v>187</v>
      </c>
      <c r="B189">
        <v>13</v>
      </c>
      <c r="C189">
        <v>4</v>
      </c>
      <c r="D189">
        <v>6</v>
      </c>
      <c r="F189">
        <v>187</v>
      </c>
      <c r="G189">
        <v>18</v>
      </c>
      <c r="H189">
        <v>15</v>
      </c>
      <c r="I189">
        <v>14</v>
      </c>
      <c r="K189">
        <v>187</v>
      </c>
      <c r="L189">
        <v>18</v>
      </c>
      <c r="M189">
        <v>11</v>
      </c>
    </row>
    <row r="190" spans="1:13" x14ac:dyDescent="0.35">
      <c r="A190">
        <v>188</v>
      </c>
      <c r="B190">
        <v>13</v>
      </c>
      <c r="C190">
        <v>6</v>
      </c>
      <c r="D190">
        <v>1</v>
      </c>
      <c r="F190">
        <v>188</v>
      </c>
      <c r="G190">
        <v>22</v>
      </c>
      <c r="H190">
        <v>11</v>
      </c>
      <c r="I190">
        <v>14</v>
      </c>
      <c r="K190">
        <v>188</v>
      </c>
      <c r="L190">
        <v>16</v>
      </c>
      <c r="M190">
        <v>6</v>
      </c>
    </row>
    <row r="191" spans="1:13" x14ac:dyDescent="0.35">
      <c r="A191">
        <v>189</v>
      </c>
      <c r="B191">
        <v>14</v>
      </c>
      <c r="C191">
        <v>1</v>
      </c>
      <c r="D191">
        <v>1</v>
      </c>
      <c r="F191">
        <v>189</v>
      </c>
      <c r="G191">
        <v>20</v>
      </c>
      <c r="H191">
        <v>13</v>
      </c>
      <c r="I191">
        <v>5</v>
      </c>
      <c r="K191">
        <v>189</v>
      </c>
      <c r="L191">
        <v>13</v>
      </c>
      <c r="M191">
        <v>11</v>
      </c>
    </row>
    <row r="192" spans="1:13" x14ac:dyDescent="0.35">
      <c r="A192">
        <v>190</v>
      </c>
      <c r="B192">
        <v>12</v>
      </c>
      <c r="C192">
        <v>3</v>
      </c>
      <c r="D192">
        <v>2</v>
      </c>
      <c r="F192">
        <v>190</v>
      </c>
      <c r="G192">
        <v>19</v>
      </c>
      <c r="H192">
        <v>16</v>
      </c>
      <c r="I192">
        <v>10</v>
      </c>
      <c r="K192">
        <v>190</v>
      </c>
      <c r="L192">
        <v>13</v>
      </c>
      <c r="M192">
        <v>9</v>
      </c>
    </row>
    <row r="193" spans="1:13" x14ac:dyDescent="0.35">
      <c r="A193">
        <v>191</v>
      </c>
      <c r="B193">
        <v>13</v>
      </c>
      <c r="C193">
        <v>9</v>
      </c>
      <c r="D193">
        <v>2</v>
      </c>
      <c r="F193">
        <v>191</v>
      </c>
      <c r="G193">
        <v>26</v>
      </c>
      <c r="H193">
        <v>15</v>
      </c>
      <c r="I193">
        <v>9</v>
      </c>
      <c r="K193">
        <v>191</v>
      </c>
      <c r="L193">
        <v>17</v>
      </c>
      <c r="M193">
        <v>7</v>
      </c>
    </row>
    <row r="194" spans="1:13" x14ac:dyDescent="0.35">
      <c r="A194">
        <v>192</v>
      </c>
      <c r="B194">
        <v>14</v>
      </c>
      <c r="C194">
        <v>5</v>
      </c>
      <c r="D194">
        <v>2</v>
      </c>
      <c r="F194">
        <v>192</v>
      </c>
      <c r="G194">
        <v>24</v>
      </c>
      <c r="H194">
        <v>13</v>
      </c>
      <c r="I194">
        <v>12</v>
      </c>
      <c r="K194">
        <v>192</v>
      </c>
      <c r="L194">
        <v>19</v>
      </c>
      <c r="M194">
        <v>9</v>
      </c>
    </row>
    <row r="195" spans="1:13" x14ac:dyDescent="0.35">
      <c r="A195">
        <v>193</v>
      </c>
      <c r="B195">
        <v>16</v>
      </c>
      <c r="C195">
        <v>5</v>
      </c>
      <c r="D195">
        <v>1</v>
      </c>
      <c r="F195">
        <v>193</v>
      </c>
      <c r="G195">
        <v>24</v>
      </c>
      <c r="H195">
        <v>7</v>
      </c>
      <c r="I195">
        <v>11</v>
      </c>
      <c r="K195">
        <v>193</v>
      </c>
      <c r="L195">
        <v>20</v>
      </c>
      <c r="M195">
        <v>2</v>
      </c>
    </row>
    <row r="196" spans="1:13" x14ac:dyDescent="0.35">
      <c r="A196">
        <v>194</v>
      </c>
      <c r="B196">
        <v>18</v>
      </c>
      <c r="C196">
        <v>12</v>
      </c>
      <c r="D196">
        <v>3</v>
      </c>
      <c r="F196">
        <v>194</v>
      </c>
      <c r="G196">
        <v>26</v>
      </c>
      <c r="H196">
        <v>12</v>
      </c>
      <c r="I196">
        <v>13</v>
      </c>
      <c r="K196">
        <v>194</v>
      </c>
      <c r="L196">
        <v>19</v>
      </c>
      <c r="M196">
        <v>6</v>
      </c>
    </row>
    <row r="197" spans="1:13" x14ac:dyDescent="0.35">
      <c r="A197">
        <v>195</v>
      </c>
      <c r="B197">
        <v>19</v>
      </c>
      <c r="C197">
        <v>13</v>
      </c>
      <c r="D197">
        <v>4</v>
      </c>
      <c r="F197">
        <v>195</v>
      </c>
      <c r="G197">
        <v>17</v>
      </c>
      <c r="H197">
        <v>7</v>
      </c>
      <c r="I197">
        <v>9</v>
      </c>
      <c r="K197">
        <v>195</v>
      </c>
      <c r="L197">
        <v>18</v>
      </c>
      <c r="M197">
        <v>7</v>
      </c>
    </row>
    <row r="198" spans="1:13" x14ac:dyDescent="0.35">
      <c r="A198">
        <v>196</v>
      </c>
      <c r="B198">
        <v>20</v>
      </c>
      <c r="C198">
        <v>6</v>
      </c>
      <c r="D198">
        <v>3</v>
      </c>
      <c r="F198">
        <v>196</v>
      </c>
      <c r="G198">
        <v>32</v>
      </c>
      <c r="H198">
        <v>9</v>
      </c>
      <c r="I198">
        <v>3</v>
      </c>
      <c r="K198">
        <v>196</v>
      </c>
      <c r="L198">
        <v>22</v>
      </c>
      <c r="M198">
        <v>8</v>
      </c>
    </row>
    <row r="199" spans="1:13" x14ac:dyDescent="0.35">
      <c r="A199">
        <v>197</v>
      </c>
      <c r="B199">
        <v>17</v>
      </c>
      <c r="C199">
        <v>14</v>
      </c>
      <c r="D199">
        <v>4</v>
      </c>
      <c r="F199">
        <v>197</v>
      </c>
      <c r="G199">
        <v>27</v>
      </c>
      <c r="H199">
        <v>11</v>
      </c>
      <c r="I199">
        <v>8</v>
      </c>
      <c r="K199">
        <v>197</v>
      </c>
      <c r="L199">
        <v>19</v>
      </c>
      <c r="M199">
        <v>7</v>
      </c>
    </row>
    <row r="200" spans="1:13" x14ac:dyDescent="0.35">
      <c r="A200">
        <v>198</v>
      </c>
      <c r="B200">
        <v>15</v>
      </c>
      <c r="C200">
        <v>10</v>
      </c>
      <c r="D200">
        <v>3</v>
      </c>
      <c r="F200">
        <v>198</v>
      </c>
      <c r="G200">
        <v>23</v>
      </c>
      <c r="H200">
        <v>12</v>
      </c>
      <c r="I200">
        <v>5</v>
      </c>
      <c r="K200">
        <v>198</v>
      </c>
      <c r="L200">
        <v>16</v>
      </c>
      <c r="M200">
        <v>7</v>
      </c>
    </row>
    <row r="201" spans="1:13" x14ac:dyDescent="0.35">
      <c r="A201">
        <v>199</v>
      </c>
      <c r="B201">
        <v>13</v>
      </c>
      <c r="C201">
        <v>3</v>
      </c>
      <c r="D201">
        <v>2</v>
      </c>
      <c r="F201">
        <v>199</v>
      </c>
      <c r="G201">
        <v>26</v>
      </c>
      <c r="H201">
        <v>10</v>
      </c>
      <c r="I201">
        <v>16</v>
      </c>
      <c r="K201">
        <v>199</v>
      </c>
      <c r="L201">
        <v>18</v>
      </c>
      <c r="M201">
        <v>15</v>
      </c>
    </row>
    <row r="202" spans="1:13" x14ac:dyDescent="0.35">
      <c r="A202">
        <v>200</v>
      </c>
      <c r="B202">
        <v>14</v>
      </c>
      <c r="C202">
        <v>7</v>
      </c>
      <c r="D202">
        <v>3</v>
      </c>
      <c r="F202">
        <v>200</v>
      </c>
      <c r="G202">
        <v>20</v>
      </c>
      <c r="H202">
        <v>12</v>
      </c>
      <c r="I202">
        <v>11</v>
      </c>
      <c r="K202">
        <v>200</v>
      </c>
      <c r="L202">
        <v>14</v>
      </c>
      <c r="M202">
        <v>12</v>
      </c>
    </row>
    <row r="203" spans="1:13" x14ac:dyDescent="0.35">
      <c r="A203">
        <v>201</v>
      </c>
      <c r="B203">
        <v>13</v>
      </c>
      <c r="C203">
        <v>8</v>
      </c>
      <c r="D203">
        <v>2</v>
      </c>
      <c r="F203">
        <v>201</v>
      </c>
      <c r="G203">
        <v>27</v>
      </c>
      <c r="H203">
        <v>14</v>
      </c>
      <c r="I203">
        <v>9</v>
      </c>
      <c r="K203">
        <v>201</v>
      </c>
      <c r="L203">
        <v>15</v>
      </c>
      <c r="M203">
        <v>12</v>
      </c>
    </row>
    <row r="204" spans="1:13" x14ac:dyDescent="0.35">
      <c r="A204">
        <v>202</v>
      </c>
      <c r="B204">
        <v>11</v>
      </c>
      <c r="C204">
        <v>10</v>
      </c>
      <c r="D204">
        <v>7</v>
      </c>
      <c r="F204">
        <v>202</v>
      </c>
      <c r="G204">
        <v>28</v>
      </c>
      <c r="H204">
        <v>14</v>
      </c>
      <c r="I204">
        <v>14</v>
      </c>
      <c r="K204">
        <v>202</v>
      </c>
      <c r="L204">
        <v>17</v>
      </c>
      <c r="M204">
        <v>6</v>
      </c>
    </row>
    <row r="205" spans="1:13" x14ac:dyDescent="0.35">
      <c r="A205">
        <v>203</v>
      </c>
      <c r="B205">
        <v>14</v>
      </c>
      <c r="C205">
        <v>9</v>
      </c>
      <c r="D205">
        <v>7</v>
      </c>
      <c r="F205">
        <v>203</v>
      </c>
      <c r="G205">
        <v>19</v>
      </c>
      <c r="H205">
        <v>12</v>
      </c>
      <c r="I205">
        <v>14</v>
      </c>
      <c r="K205">
        <v>203</v>
      </c>
      <c r="L205">
        <v>17</v>
      </c>
      <c r="M205">
        <v>10</v>
      </c>
    </row>
    <row r="206" spans="1:13" x14ac:dyDescent="0.35">
      <c r="A206">
        <v>204</v>
      </c>
      <c r="B206">
        <v>12</v>
      </c>
      <c r="C206">
        <v>10</v>
      </c>
      <c r="D206">
        <v>3</v>
      </c>
      <c r="F206">
        <v>204</v>
      </c>
      <c r="G206">
        <v>14</v>
      </c>
      <c r="H206">
        <v>14</v>
      </c>
      <c r="I206">
        <v>16</v>
      </c>
      <c r="K206">
        <v>204</v>
      </c>
      <c r="L206">
        <v>17</v>
      </c>
      <c r="M206">
        <v>5</v>
      </c>
    </row>
    <row r="207" spans="1:13" x14ac:dyDescent="0.35">
      <c r="A207">
        <v>205</v>
      </c>
      <c r="B207">
        <v>18</v>
      </c>
      <c r="C207">
        <v>12</v>
      </c>
      <c r="D207">
        <v>4</v>
      </c>
      <c r="F207">
        <v>205</v>
      </c>
      <c r="G207">
        <v>25</v>
      </c>
      <c r="H207">
        <v>13</v>
      </c>
      <c r="I207">
        <v>8</v>
      </c>
      <c r="K207">
        <v>205</v>
      </c>
      <c r="L207">
        <v>16</v>
      </c>
      <c r="M207">
        <v>9</v>
      </c>
    </row>
    <row r="208" spans="1:13" x14ac:dyDescent="0.35">
      <c r="A208">
        <v>206</v>
      </c>
      <c r="B208">
        <v>17</v>
      </c>
      <c r="C208">
        <v>13</v>
      </c>
      <c r="D208">
        <v>3</v>
      </c>
      <c r="F208">
        <v>206</v>
      </c>
      <c r="G208">
        <v>30</v>
      </c>
      <c r="H208">
        <v>12</v>
      </c>
      <c r="I208">
        <v>8</v>
      </c>
      <c r="K208">
        <v>206</v>
      </c>
      <c r="L208">
        <v>20</v>
      </c>
      <c r="M208">
        <v>13</v>
      </c>
    </row>
    <row r="209" spans="1:13" x14ac:dyDescent="0.35">
      <c r="A209">
        <v>207</v>
      </c>
      <c r="B209">
        <v>19</v>
      </c>
      <c r="C209">
        <v>9</v>
      </c>
      <c r="D209">
        <v>3</v>
      </c>
      <c r="F209">
        <v>207</v>
      </c>
      <c r="G209">
        <v>22</v>
      </c>
      <c r="H209">
        <v>16</v>
      </c>
      <c r="I209">
        <v>11</v>
      </c>
      <c r="K209">
        <v>207</v>
      </c>
      <c r="L209">
        <v>21</v>
      </c>
      <c r="M209">
        <v>10</v>
      </c>
    </row>
    <row r="210" spans="1:13" x14ac:dyDescent="0.35">
      <c r="A210">
        <v>208</v>
      </c>
      <c r="B210">
        <v>21</v>
      </c>
      <c r="C210">
        <v>12</v>
      </c>
      <c r="D210">
        <v>1</v>
      </c>
      <c r="F210">
        <v>208</v>
      </c>
      <c r="G210">
        <v>33</v>
      </c>
      <c r="H210">
        <v>15</v>
      </c>
      <c r="I210">
        <v>13</v>
      </c>
      <c r="K210">
        <v>208</v>
      </c>
      <c r="L210">
        <v>19</v>
      </c>
      <c r="M210">
        <v>9</v>
      </c>
    </row>
    <row r="211" spans="1:13" x14ac:dyDescent="0.35">
      <c r="A211">
        <v>209</v>
      </c>
      <c r="B211">
        <v>19</v>
      </c>
      <c r="C211">
        <v>13</v>
      </c>
      <c r="D211">
        <v>2</v>
      </c>
      <c r="F211">
        <v>209</v>
      </c>
      <c r="G211">
        <v>24</v>
      </c>
      <c r="H211">
        <v>13</v>
      </c>
      <c r="I211">
        <v>14</v>
      </c>
      <c r="K211">
        <v>209</v>
      </c>
      <c r="L211">
        <v>23</v>
      </c>
      <c r="M211">
        <v>12</v>
      </c>
    </row>
    <row r="212" spans="1:13" x14ac:dyDescent="0.35">
      <c r="A212">
        <v>210</v>
      </c>
      <c r="B212">
        <v>16</v>
      </c>
      <c r="C212">
        <v>12</v>
      </c>
      <c r="D212">
        <v>3</v>
      </c>
      <c r="F212">
        <v>210</v>
      </c>
      <c r="G212">
        <v>21</v>
      </c>
      <c r="H212">
        <v>14</v>
      </c>
      <c r="I212">
        <v>12</v>
      </c>
      <c r="K212">
        <v>210</v>
      </c>
      <c r="L212">
        <v>21</v>
      </c>
      <c r="M212">
        <v>7</v>
      </c>
    </row>
    <row r="213" spans="1:13" x14ac:dyDescent="0.35">
      <c r="A213">
        <v>211</v>
      </c>
      <c r="B213">
        <v>17</v>
      </c>
      <c r="C213">
        <v>5</v>
      </c>
      <c r="D213">
        <v>0</v>
      </c>
      <c r="F213">
        <v>211</v>
      </c>
      <c r="G213">
        <v>19</v>
      </c>
      <c r="H213">
        <v>13</v>
      </c>
      <c r="I213">
        <v>14</v>
      </c>
      <c r="K213">
        <v>211</v>
      </c>
      <c r="L213">
        <v>20</v>
      </c>
      <c r="M213">
        <v>5</v>
      </c>
    </row>
    <row r="214" spans="1:13" x14ac:dyDescent="0.35">
      <c r="A214">
        <v>212</v>
      </c>
      <c r="B214">
        <v>16</v>
      </c>
      <c r="C214">
        <v>10</v>
      </c>
      <c r="D214">
        <v>5</v>
      </c>
      <c r="F214">
        <v>212</v>
      </c>
      <c r="G214">
        <v>18</v>
      </c>
      <c r="H214">
        <v>12</v>
      </c>
      <c r="I214">
        <v>10</v>
      </c>
      <c r="K214">
        <v>212</v>
      </c>
      <c r="L214">
        <v>16</v>
      </c>
      <c r="M214">
        <v>10</v>
      </c>
    </row>
    <row r="215" spans="1:13" x14ac:dyDescent="0.35">
      <c r="A215">
        <v>213</v>
      </c>
      <c r="B215">
        <v>14</v>
      </c>
      <c r="C215">
        <v>15</v>
      </c>
      <c r="D215">
        <v>0</v>
      </c>
      <c r="F215">
        <v>213</v>
      </c>
      <c r="G215">
        <v>21</v>
      </c>
      <c r="H215">
        <v>8</v>
      </c>
      <c r="I215">
        <v>14</v>
      </c>
      <c r="K215">
        <v>213</v>
      </c>
      <c r="L215">
        <v>15</v>
      </c>
      <c r="M215">
        <v>12</v>
      </c>
    </row>
    <row r="216" spans="1:13" x14ac:dyDescent="0.35">
      <c r="A216">
        <v>214</v>
      </c>
      <c r="B216">
        <v>14</v>
      </c>
      <c r="C216">
        <v>9</v>
      </c>
      <c r="D216">
        <v>5</v>
      </c>
      <c r="F216">
        <v>214</v>
      </c>
      <c r="G216">
        <v>25</v>
      </c>
      <c r="H216">
        <v>9</v>
      </c>
      <c r="I216">
        <v>13</v>
      </c>
      <c r="K216">
        <v>214</v>
      </c>
      <c r="L216">
        <v>19</v>
      </c>
      <c r="M216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Normal="100" workbookViewId="0"/>
  </sheetViews>
  <sheetFormatPr baseColWidth="10" defaultColWidth="8.58203125" defaultRowHeight="15.5" x14ac:dyDescent="0.35"/>
  <cols>
    <col min="1" max="1" width="19.9140625" bestFit="1" customWidth="1"/>
    <col min="2" max="2" width="19" bestFit="1" customWidth="1"/>
    <col min="3" max="3" width="18.4140625" bestFit="1" customWidth="1"/>
  </cols>
  <sheetData>
    <row r="1" spans="1:11" x14ac:dyDescent="0.35">
      <c r="A1" t="s">
        <v>82</v>
      </c>
      <c r="B1" t="s">
        <v>83</v>
      </c>
      <c r="C1" t="s">
        <v>84</v>
      </c>
      <c r="D1" t="s">
        <v>85</v>
      </c>
      <c r="E1" t="s">
        <v>40</v>
      </c>
      <c r="F1" t="s">
        <v>42</v>
      </c>
      <c r="G1" t="s">
        <v>41</v>
      </c>
      <c r="H1" t="s">
        <v>86</v>
      </c>
      <c r="I1" t="s">
        <v>43</v>
      </c>
      <c r="J1" t="s">
        <v>87</v>
      </c>
      <c r="K1" t="s">
        <v>88</v>
      </c>
    </row>
    <row r="2" spans="1:11" x14ac:dyDescent="0.35">
      <c r="A2" t="s">
        <v>31</v>
      </c>
      <c r="B2" t="s">
        <v>26</v>
      </c>
      <c r="C2" t="s">
        <v>89</v>
      </c>
      <c r="D2" t="s">
        <v>90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 spans="1:11" x14ac:dyDescent="0.35">
      <c r="A3" t="s">
        <v>33</v>
      </c>
      <c r="B3" t="s">
        <v>26</v>
      </c>
      <c r="C3" t="s">
        <v>89</v>
      </c>
      <c r="D3" t="s">
        <v>91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 spans="1:11" x14ac:dyDescent="0.35">
      <c r="A4" t="s">
        <v>34</v>
      </c>
      <c r="B4" t="s">
        <v>26</v>
      </c>
      <c r="C4" t="s">
        <v>92</v>
      </c>
      <c r="D4" t="s">
        <v>93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 spans="1:11" x14ac:dyDescent="0.35">
      <c r="A5" t="s">
        <v>34</v>
      </c>
      <c r="B5" t="s">
        <v>26</v>
      </c>
      <c r="C5" t="s">
        <v>94</v>
      </c>
      <c r="D5" t="s">
        <v>95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 spans="1:11" x14ac:dyDescent="0.35">
      <c r="A6" t="s">
        <v>26</v>
      </c>
      <c r="B6" t="s">
        <v>36</v>
      </c>
      <c r="C6" t="s">
        <v>89</v>
      </c>
      <c r="D6" t="s">
        <v>90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 spans="1:11" x14ac:dyDescent="0.35">
      <c r="A7" t="s">
        <v>26</v>
      </c>
      <c r="B7" t="s">
        <v>22</v>
      </c>
      <c r="C7" t="s">
        <v>89</v>
      </c>
      <c r="D7" t="s">
        <v>96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 spans="1:11" x14ac:dyDescent="0.35">
      <c r="A8" t="s">
        <v>36</v>
      </c>
      <c r="B8" t="s">
        <v>23</v>
      </c>
      <c r="C8" t="s">
        <v>89</v>
      </c>
      <c r="D8" t="s">
        <v>90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 spans="1:11" x14ac:dyDescent="0.35">
      <c r="A9" t="s">
        <v>36</v>
      </c>
      <c r="B9" t="s">
        <v>24</v>
      </c>
      <c r="C9" t="s">
        <v>89</v>
      </c>
      <c r="D9" t="s">
        <v>90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Normal="100" workbookViewId="0"/>
  </sheetViews>
  <sheetFormatPr baseColWidth="10" defaultColWidth="8.58203125" defaultRowHeight="15.5" x14ac:dyDescent="0.35"/>
  <cols>
    <col min="1" max="1" width="12.9140625" bestFit="1" customWidth="1"/>
  </cols>
  <sheetData>
    <row r="1" spans="1:5" x14ac:dyDescent="0.35">
      <c r="A1" t="s">
        <v>26</v>
      </c>
    </row>
    <row r="3" spans="1:5" x14ac:dyDescent="0.35">
      <c r="B3" t="s">
        <v>97</v>
      </c>
      <c r="C3" t="s">
        <v>98</v>
      </c>
      <c r="D3" t="s">
        <v>99</v>
      </c>
      <c r="E3" t="s">
        <v>100</v>
      </c>
    </row>
    <row r="4" spans="1:5" x14ac:dyDescent="0.35">
      <c r="A4" t="s">
        <v>44</v>
      </c>
      <c r="B4">
        <v>20</v>
      </c>
      <c r="C4">
        <v>180</v>
      </c>
      <c r="D4">
        <v>295</v>
      </c>
      <c r="E4">
        <v>50</v>
      </c>
    </row>
    <row r="5" spans="1:5" x14ac:dyDescent="0.35">
      <c r="A5" t="s">
        <v>45</v>
      </c>
      <c r="B5">
        <v>20</v>
      </c>
      <c r="C5">
        <v>89</v>
      </c>
      <c r="D5">
        <v>235</v>
      </c>
      <c r="E5">
        <v>150</v>
      </c>
    </row>
    <row r="6" spans="1:5" x14ac:dyDescent="0.35">
      <c r="A6" t="s">
        <v>46</v>
      </c>
      <c r="B6">
        <v>20</v>
      </c>
      <c r="C6">
        <v>245</v>
      </c>
      <c r="D6">
        <v>150</v>
      </c>
      <c r="E6">
        <v>100</v>
      </c>
    </row>
    <row r="8" spans="1:5" x14ac:dyDescent="0.35">
      <c r="A8" t="s">
        <v>101</v>
      </c>
      <c r="B8">
        <v>3000</v>
      </c>
      <c r="C8">
        <v>20000</v>
      </c>
      <c r="D8">
        <v>27000</v>
      </c>
      <c r="E8">
        <v>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zoomScaleNormal="100" workbookViewId="0"/>
  </sheetViews>
  <sheetFormatPr baseColWidth="10" defaultColWidth="8.58203125" defaultRowHeight="15.5" x14ac:dyDescent="0.35"/>
  <sheetData>
    <row r="1" spans="1:7" x14ac:dyDescent="0.35">
      <c r="A1" t="s">
        <v>102</v>
      </c>
      <c r="B1" t="s">
        <v>0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7" x14ac:dyDescent="0.35">
      <c r="A2" t="s">
        <v>108</v>
      </c>
      <c r="B2" t="s">
        <v>26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 spans="1:7" x14ac:dyDescent="0.35">
      <c r="A3" t="s">
        <v>109</v>
      </c>
      <c r="B3" t="s">
        <v>22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 spans="1:7" x14ac:dyDescent="0.35">
      <c r="A4" t="s">
        <v>109</v>
      </c>
      <c r="B4" t="s">
        <v>23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 spans="1:7" x14ac:dyDescent="0.35">
      <c r="A5" t="s">
        <v>109</v>
      </c>
      <c r="B5" t="s">
        <v>24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 spans="1:7" x14ac:dyDescent="0.35">
      <c r="A6" t="s">
        <v>110</v>
      </c>
      <c r="B6" t="s">
        <v>36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"/>
  <sheetViews>
    <sheetView tabSelected="1" topLeftCell="A40" zoomScaleNormal="100" workbookViewId="0">
      <selection activeCell="C47" sqref="C47"/>
    </sheetView>
  </sheetViews>
  <sheetFormatPr baseColWidth="10" defaultColWidth="8.58203125" defaultRowHeight="15.5" x14ac:dyDescent="0.35"/>
  <cols>
    <col min="1" max="1" width="40" customWidth="1"/>
    <col min="2" max="2" width="27.33203125" customWidth="1"/>
    <col min="3" max="3" width="20" customWidth="1"/>
    <col min="4" max="4" width="24" customWidth="1"/>
    <col min="5" max="5" width="16" customWidth="1"/>
  </cols>
  <sheetData>
    <row r="1" spans="1:5" ht="18" x14ac:dyDescent="0.4">
      <c r="A1" s="3" t="s">
        <v>111</v>
      </c>
    </row>
    <row r="2" spans="1:5" x14ac:dyDescent="0.35">
      <c r="A2" s="4" t="s">
        <v>112</v>
      </c>
    </row>
    <row r="3" spans="1:5" x14ac:dyDescent="0.35">
      <c r="A3" s="5" t="s">
        <v>113</v>
      </c>
      <c r="B3" s="2" t="s">
        <v>114</v>
      </c>
      <c r="C3" s="2"/>
      <c r="D3" s="2"/>
      <c r="E3" s="2"/>
    </row>
    <row r="5" spans="1:5" x14ac:dyDescent="0.35">
      <c r="A5" s="1" t="s">
        <v>115</v>
      </c>
      <c r="B5" s="1"/>
      <c r="C5" s="1"/>
    </row>
    <row r="6" spans="1:5" x14ac:dyDescent="0.35">
      <c r="A6" s="6" t="s">
        <v>116</v>
      </c>
      <c r="B6" s="7" t="s">
        <v>117</v>
      </c>
    </row>
    <row r="7" spans="1:5" x14ac:dyDescent="0.35">
      <c r="A7" s="8" t="str">
        <f>'Products &amp; Materials'!A9</f>
        <v>CUARTO LADRILLO AZUL</v>
      </c>
      <c r="B7" s="9">
        <v>10000</v>
      </c>
    </row>
    <row r="8" spans="1:5" x14ac:dyDescent="0.35">
      <c r="A8" s="8" t="str">
        <f>'Products &amp; Materials'!A10</f>
        <v>MEDIO LADRILLO AZUL</v>
      </c>
      <c r="B8" s="9">
        <v>20000</v>
      </c>
    </row>
    <row r="9" spans="1:5" x14ac:dyDescent="0.35">
      <c r="A9" s="8" t="str">
        <f>'Products &amp; Materials'!A11</f>
        <v>LADRILLO COMPLETO AZUL</v>
      </c>
      <c r="B9" s="9">
        <v>40000</v>
      </c>
    </row>
    <row r="10" spans="1:5" x14ac:dyDescent="0.35">
      <c r="A10" s="8" t="str">
        <f>'Products &amp; Materials'!A12</f>
        <v>LADRILLO TRIANGULAR AZUL</v>
      </c>
      <c r="B10" s="9">
        <v>25000</v>
      </c>
    </row>
    <row r="11" spans="1:5" x14ac:dyDescent="0.35">
      <c r="A11" s="8" t="str">
        <f>'Products &amp; Materials'!A13</f>
        <v>DINTEL SIMPLE AMARILLO</v>
      </c>
      <c r="B11" s="9">
        <v>20000</v>
      </c>
    </row>
    <row r="12" spans="1:5" x14ac:dyDescent="0.35">
      <c r="A12" s="8" t="str">
        <f>'Products &amp; Materials'!A14</f>
        <v>DINTEL DOBLE AMARILLO</v>
      </c>
      <c r="B12" s="9">
        <v>40000</v>
      </c>
    </row>
    <row r="13" spans="1:5" x14ac:dyDescent="0.35">
      <c r="A13" s="8" t="str">
        <f>'Products &amp; Materials'!A15</f>
        <v>DINTEL TRIPLE AMARILLO</v>
      </c>
      <c r="B13" s="9">
        <v>100000</v>
      </c>
    </row>
    <row r="14" spans="1:5" x14ac:dyDescent="0.35">
      <c r="A14" s="8" t="str">
        <f>'Products &amp; Materials'!A16</f>
        <v>BLOQUE REDONDO SENCILLO AMARILLO</v>
      </c>
      <c r="B14" s="9">
        <v>50000</v>
      </c>
    </row>
    <row r="15" spans="1:5" x14ac:dyDescent="0.35">
      <c r="A15" s="8" t="str">
        <f>'Products &amp; Materials'!A17</f>
        <v>MEDIO BLOQUE REDONDO AMARILLO</v>
      </c>
      <c r="B15" s="9">
        <v>40000</v>
      </c>
    </row>
    <row r="16" spans="1:5" x14ac:dyDescent="0.35">
      <c r="A16" s="8" t="str">
        <f>'Products &amp; Materials'!A18</f>
        <v>BLOQUE REDONDO MACHO-MACHO AMARILLO</v>
      </c>
      <c r="B16" s="9">
        <v>50000</v>
      </c>
    </row>
    <row r="17" spans="1:2" x14ac:dyDescent="0.35">
      <c r="A17" s="8" t="str">
        <f>'Products &amp; Materials'!A19</f>
        <v>BLOQUE REDONDO HEMBRA-HEMBRA AMARILLO</v>
      </c>
      <c r="B17" s="9">
        <v>50000</v>
      </c>
    </row>
    <row r="18" spans="1:2" x14ac:dyDescent="0.35">
      <c r="A18" s="8" t="str">
        <f>'Products &amp; Materials'!A20</f>
        <v>CARRETE DE ESPIGAS AMARILLO</v>
      </c>
      <c r="B18" s="9">
        <v>50000</v>
      </c>
    </row>
    <row r="19" spans="1:2" x14ac:dyDescent="0.35">
      <c r="A19" s="8" t="str">
        <f>'Products &amp; Materials'!A21</f>
        <v>PIÑON GRANDE AMARILLO</v>
      </c>
      <c r="B19" s="9">
        <v>150000</v>
      </c>
    </row>
    <row r="20" spans="1:2" x14ac:dyDescent="0.35">
      <c r="A20" s="8" t="str">
        <f>'Products &amp; Materials'!A22</f>
        <v>PIÑON PEQUEÑO AMARILLO</v>
      </c>
      <c r="B20" s="9">
        <v>50000</v>
      </c>
    </row>
    <row r="21" spans="1:2" x14ac:dyDescent="0.35">
      <c r="A21" s="8" t="str">
        <f>'Products &amp; Materials'!A23</f>
        <v>PIÑON CONICO AMARILLO</v>
      </c>
      <c r="B21" s="9">
        <v>50000</v>
      </c>
    </row>
    <row r="22" spans="1:2" x14ac:dyDescent="0.35">
      <c r="A22" s="8" t="str">
        <f>'Products &amp; Materials'!A24</f>
        <v>VIGA SIMPLE GRIS</v>
      </c>
      <c r="B22" s="9">
        <v>50000</v>
      </c>
    </row>
    <row r="23" spans="1:2" x14ac:dyDescent="0.35">
      <c r="A23" s="8" t="str">
        <f>'Products &amp; Materials'!A25</f>
        <v>VIGA DOBLE GRIS</v>
      </c>
      <c r="B23" s="9">
        <v>100000</v>
      </c>
    </row>
    <row r="24" spans="1:2" x14ac:dyDescent="0.35">
      <c r="A24" s="8" t="str">
        <f>'Products &amp; Materials'!A26</f>
        <v>VIGA TRIPLE GRIS</v>
      </c>
      <c r="B24" s="9">
        <v>150000</v>
      </c>
    </row>
    <row r="25" spans="1:2" x14ac:dyDescent="0.35">
      <c r="A25" s="8" t="str">
        <f>'Products &amp; Materials'!A27</f>
        <v>BLOQUE DE EJES NEGRO</v>
      </c>
      <c r="B25" s="9">
        <v>50000</v>
      </c>
    </row>
    <row r="26" spans="1:2" x14ac:dyDescent="0.35">
      <c r="A26" s="8" t="str">
        <f>'Products &amp; Materials'!A28</f>
        <v>CILINDRO NEGRO</v>
      </c>
      <c r="B26" s="9">
        <v>5000</v>
      </c>
    </row>
    <row r="27" spans="1:2" x14ac:dyDescent="0.35">
      <c r="A27" s="8" t="str">
        <f>'Products &amp; Materials'!A29</f>
        <v>COLUMNA NEGRA</v>
      </c>
      <c r="B27" s="9">
        <v>5000</v>
      </c>
    </row>
    <row r="28" spans="1:2" x14ac:dyDescent="0.35">
      <c r="A28" s="8" t="str">
        <f>'Products &amp; Materials'!A30</f>
        <v>ESLABÓN DE ORUGA NEGRO</v>
      </c>
      <c r="B28" s="9">
        <v>4000</v>
      </c>
    </row>
    <row r="29" spans="1:2" x14ac:dyDescent="0.35">
      <c r="A29" s="8" t="str">
        <f>'Products &amp; Materials'!A31</f>
        <v>PIN TRIPLE AZUL</v>
      </c>
      <c r="B29" s="9">
        <v>40000</v>
      </c>
    </row>
    <row r="30" spans="1:2" x14ac:dyDescent="0.35">
      <c r="A30" s="8" t="str">
        <f>'Products &amp; Materials'!A32</f>
        <v>PIN DOBLE AZUL</v>
      </c>
      <c r="B30" s="9">
        <v>30000</v>
      </c>
    </row>
    <row r="31" spans="1:2" x14ac:dyDescent="0.35">
      <c r="A31" s="8" t="str">
        <f>'Products &amp; Materials'!A33</f>
        <v>PIN SIMPLE AZUL</v>
      </c>
      <c r="B31" s="9">
        <v>20000</v>
      </c>
    </row>
    <row r="32" spans="1:2" x14ac:dyDescent="0.35">
      <c r="A32" s="8" t="str">
        <f>'Products &amp; Materials'!A34</f>
        <v>TOPE DE EJE AMARILLO</v>
      </c>
      <c r="B32" s="9">
        <v>5000</v>
      </c>
    </row>
    <row r="33" spans="1:3" x14ac:dyDescent="0.35">
      <c r="A33" s="8" t="str">
        <f>'Products &amp; Materials'!A35</f>
        <v>EJE HEXAGONAL 3.5 CM</v>
      </c>
      <c r="B33" s="9">
        <v>300000</v>
      </c>
    </row>
    <row r="34" spans="1:3" x14ac:dyDescent="0.35">
      <c r="A34" s="8" t="str">
        <f>'Products &amp; Materials'!A36</f>
        <v>EJE HEXAGONAL 6.5 CM</v>
      </c>
      <c r="B34" s="9">
        <v>300000</v>
      </c>
    </row>
    <row r="35" spans="1:3" x14ac:dyDescent="0.35">
      <c r="A35" s="8" t="str">
        <f>'Products &amp; Materials'!A37</f>
        <v>EJE HEXAGONAL 10 CM</v>
      </c>
      <c r="B35" s="9">
        <v>550000</v>
      </c>
    </row>
    <row r="37" spans="1:3" x14ac:dyDescent="0.35">
      <c r="A37" s="1" t="s">
        <v>118</v>
      </c>
      <c r="B37" s="1"/>
      <c r="C37" s="1"/>
    </row>
    <row r="38" spans="1:3" x14ac:dyDescent="0.35">
      <c r="A38" s="6" t="s">
        <v>119</v>
      </c>
      <c r="B38" s="7" t="s">
        <v>120</v>
      </c>
    </row>
    <row r="39" spans="1:3" x14ac:dyDescent="0.35">
      <c r="A39" s="8" t="str">
        <f>Production!B3</f>
        <v>Armar Base</v>
      </c>
      <c r="B39" s="9">
        <v>3000</v>
      </c>
    </row>
    <row r="40" spans="1:3" x14ac:dyDescent="0.35">
      <c r="A40" s="8" t="str">
        <f>Production!C3</f>
        <v>Armar Chasís</v>
      </c>
      <c r="B40" s="9">
        <v>4000</v>
      </c>
    </row>
    <row r="41" spans="1:3" x14ac:dyDescent="0.35">
      <c r="A41" s="8" t="str">
        <f>Production!D3</f>
        <v>Rueda - Oruga</v>
      </c>
      <c r="B41" s="9">
        <v>2500</v>
      </c>
    </row>
    <row r="42" spans="1:3" x14ac:dyDescent="0.35">
      <c r="A42" s="8" t="str">
        <f>Production!E3</f>
        <v>Asiento - Volante</v>
      </c>
      <c r="B42" s="9">
        <v>2500</v>
      </c>
    </row>
    <row r="44" spans="1:3" x14ac:dyDescent="0.35">
      <c r="A44" s="1" t="s">
        <v>121</v>
      </c>
      <c r="B44" s="1"/>
    </row>
    <row r="45" spans="1:3" x14ac:dyDescent="0.35">
      <c r="A45" s="6" t="s">
        <v>122</v>
      </c>
      <c r="B45" s="7" t="s">
        <v>123</v>
      </c>
    </row>
    <row r="46" spans="1:3" x14ac:dyDescent="0.35">
      <c r="A46" s="8" t="s">
        <v>44</v>
      </c>
      <c r="B46" s="10">
        <f>SUMPRODUCT('Products &amp; Materials'!B41:AD41,B63:AD63)</f>
        <v>3927000</v>
      </c>
    </row>
    <row r="47" spans="1:3" x14ac:dyDescent="0.35">
      <c r="A47" s="8" t="s">
        <v>45</v>
      </c>
      <c r="B47" s="10">
        <f>SUMPRODUCT('Products &amp; Materials'!B42:AD42,B63:AD63)</f>
        <v>2988000</v>
      </c>
    </row>
    <row r="48" spans="1:3" x14ac:dyDescent="0.35">
      <c r="A48" s="8" t="s">
        <v>46</v>
      </c>
      <c r="B48" s="10">
        <f>SUMPRODUCT('Products &amp; Materials'!B43:AD43,B63:AD63)</f>
        <v>3340000</v>
      </c>
    </row>
    <row r="50" spans="1:30" x14ac:dyDescent="0.35">
      <c r="A50" s="1" t="s">
        <v>124</v>
      </c>
      <c r="B50" s="1"/>
    </row>
    <row r="51" spans="1:30" x14ac:dyDescent="0.35">
      <c r="A51" s="6" t="s">
        <v>122</v>
      </c>
      <c r="B51" s="7" t="s">
        <v>125</v>
      </c>
    </row>
    <row r="52" spans="1:30" x14ac:dyDescent="0.35">
      <c r="A52" s="8" t="s">
        <v>44</v>
      </c>
      <c r="B52" s="10">
        <f>SUMPRODUCT(Production!B4:E4,B64:E64)</f>
        <v>1642500</v>
      </c>
    </row>
    <row r="53" spans="1:30" x14ac:dyDescent="0.35">
      <c r="A53" s="8" t="s">
        <v>45</v>
      </c>
      <c r="B53" s="10">
        <f>SUMPRODUCT(Production!B5:E5,B64:E64)</f>
        <v>1378500</v>
      </c>
    </row>
    <row r="54" spans="1:30" x14ac:dyDescent="0.35">
      <c r="A54" s="8" t="s">
        <v>46</v>
      </c>
      <c r="B54" s="10">
        <f>SUMPRODUCT(Production!B6:E6,B64:E64)</f>
        <v>1665000</v>
      </c>
    </row>
    <row r="56" spans="1:30" x14ac:dyDescent="0.35">
      <c r="A56" s="1" t="s">
        <v>126</v>
      </c>
      <c r="B56" s="1"/>
      <c r="C56" s="1"/>
      <c r="D56" s="1"/>
    </row>
    <row r="57" spans="1:30" x14ac:dyDescent="0.35">
      <c r="A57" s="6" t="s">
        <v>122</v>
      </c>
      <c r="B57" s="7" t="s">
        <v>127</v>
      </c>
      <c r="C57" s="7" t="s">
        <v>128</v>
      </c>
      <c r="D57" s="7" t="s">
        <v>129</v>
      </c>
    </row>
    <row r="58" spans="1:30" x14ac:dyDescent="0.35">
      <c r="A58" s="8" t="s">
        <v>44</v>
      </c>
      <c r="B58" s="10">
        <f>B46</f>
        <v>3927000</v>
      </c>
      <c r="C58" s="10">
        <f>B52</f>
        <v>1642500</v>
      </c>
      <c r="D58" s="11">
        <f>B58+C58</f>
        <v>5569500</v>
      </c>
    </row>
    <row r="59" spans="1:30" x14ac:dyDescent="0.35">
      <c r="A59" s="8" t="s">
        <v>45</v>
      </c>
      <c r="B59" s="10">
        <f>B47</f>
        <v>2988000</v>
      </c>
      <c r="C59" s="10">
        <f>B53</f>
        <v>1378500</v>
      </c>
      <c r="D59" s="11">
        <f>B59+C59</f>
        <v>4366500</v>
      </c>
    </row>
    <row r="60" spans="1:30" x14ac:dyDescent="0.35">
      <c r="A60" s="8" t="s">
        <v>46</v>
      </c>
      <c r="B60" s="10">
        <f>B48</f>
        <v>3340000</v>
      </c>
      <c r="C60" s="10">
        <f>B54</f>
        <v>1665000</v>
      </c>
      <c r="D60" s="11">
        <f>B60+C60</f>
        <v>5005000</v>
      </c>
    </row>
    <row r="63" spans="1:30" hidden="1" x14ac:dyDescent="0.35">
      <c r="A63" s="12" t="s">
        <v>130</v>
      </c>
      <c r="B63" s="13">
        <f>$B$7</f>
        <v>10000</v>
      </c>
      <c r="C63" s="13">
        <f>$B$8</f>
        <v>20000</v>
      </c>
      <c r="D63" s="13">
        <f>$B$9</f>
        <v>40000</v>
      </c>
      <c r="E63" s="13">
        <f>$B$10</f>
        <v>25000</v>
      </c>
      <c r="F63" s="13">
        <f>$B$11</f>
        <v>20000</v>
      </c>
      <c r="G63" s="13">
        <f>$B$12</f>
        <v>40000</v>
      </c>
      <c r="H63" s="13">
        <f>$B$13</f>
        <v>100000</v>
      </c>
      <c r="I63" s="13">
        <f>$B$14</f>
        <v>50000</v>
      </c>
      <c r="J63" s="13">
        <f>$B$15</f>
        <v>40000</v>
      </c>
      <c r="K63" s="13">
        <f>$B$16</f>
        <v>50000</v>
      </c>
      <c r="L63" s="13">
        <f>$B$17</f>
        <v>50000</v>
      </c>
      <c r="M63" s="13">
        <f>$B$18</f>
        <v>50000</v>
      </c>
      <c r="N63" s="13">
        <f>$B$19</f>
        <v>150000</v>
      </c>
      <c r="O63" s="13">
        <f>$B$20</f>
        <v>50000</v>
      </c>
      <c r="P63" s="13">
        <f>$B$21</f>
        <v>50000</v>
      </c>
      <c r="Q63" s="13">
        <f>$B$22</f>
        <v>50000</v>
      </c>
      <c r="R63" s="13">
        <f>$B$23</f>
        <v>100000</v>
      </c>
      <c r="S63" s="13">
        <f>$B$24</f>
        <v>150000</v>
      </c>
      <c r="T63" s="13">
        <f>$B$25</f>
        <v>50000</v>
      </c>
      <c r="U63" s="13">
        <f>$B$26</f>
        <v>5000</v>
      </c>
      <c r="V63" s="13">
        <f>$B$27</f>
        <v>5000</v>
      </c>
      <c r="W63" s="13">
        <f>$B$28</f>
        <v>4000</v>
      </c>
      <c r="X63" s="13">
        <f>$B$29</f>
        <v>40000</v>
      </c>
      <c r="Y63" s="13">
        <f>$B$30</f>
        <v>30000</v>
      </c>
      <c r="Z63" s="13">
        <f>$B$31</f>
        <v>20000</v>
      </c>
      <c r="AA63" s="13">
        <f>$B$32</f>
        <v>5000</v>
      </c>
      <c r="AB63" s="13">
        <f>$B$33</f>
        <v>300000</v>
      </c>
      <c r="AC63" s="13">
        <f>$B$34</f>
        <v>300000</v>
      </c>
      <c r="AD63" s="13">
        <f>$B$35</f>
        <v>550000</v>
      </c>
    </row>
    <row r="64" spans="1:30" hidden="1" x14ac:dyDescent="0.35">
      <c r="A64" s="12" t="s">
        <v>131</v>
      </c>
      <c r="B64" s="13">
        <f>$B$39</f>
        <v>3000</v>
      </c>
      <c r="C64" s="13">
        <f>$B$40</f>
        <v>4000</v>
      </c>
      <c r="D64" s="13">
        <f>$B$41</f>
        <v>2500</v>
      </c>
      <c r="E64" s="13">
        <f>$B$42</f>
        <v>2500</v>
      </c>
    </row>
  </sheetData>
  <mergeCells count="6">
    <mergeCell ref="A56:D56"/>
    <mergeCell ref="B3:E3"/>
    <mergeCell ref="A5:C5"/>
    <mergeCell ref="A37:C37"/>
    <mergeCell ref="A44:B44"/>
    <mergeCell ref="A50:B5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Yamid Jose Merlano Sierra</cp:lastModifiedBy>
  <cp:revision>0</cp:revision>
  <dcterms:created xsi:type="dcterms:W3CDTF">2026-09-12T00:07:27Z</dcterms:created>
  <dcterms:modified xsi:type="dcterms:W3CDTF">2026-09-12T00:16:13Z</dcterms:modified>
  <dc:language>en-US</dc:language>
</cp:coreProperties>
</file>